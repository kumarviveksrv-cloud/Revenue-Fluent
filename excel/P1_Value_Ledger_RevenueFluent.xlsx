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e Ledger" sheetId="1" state="visible" r:id="rId3"/>
    <sheet name="Assumptions &amp; 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<sst xmlns="http://schemas.openxmlformats.org/spreadsheetml/2006/main" count="99" uniqueCount="77">
  <si>
    <t xml:space="preserve">THE VALUE LEDGER  —  Revenue Fluent</t>
  </si>
  <si>
    <t xml:space="preserve">HR Investment Return Statement  |  Populate with your organisation's data</t>
  </si>
  <si>
    <t xml:space="preserve">BLUE cells = your inputs  |  BLACK cells = auto-calculated  |  Source: Revenue Fluent, 2026, revenuefluent.com</t>
  </si>
  <si>
    <t xml:space="preserve">DATE</t>
  </si>
  <si>
    <t xml:space="preserve">ACTION / DESCRIPTION</t>
  </si>
  <si>
    <t xml:space="preserve">CATEGORY</t>
  </si>
  <si>
    <t xml:space="preserve">HR COST</t>
  </si>
  <si>
    <t xml:space="preserve">RETURN</t>
  </si>
  <si>
    <t xml:space="preserve">NET VALUE</t>
  </si>
  <si>
    <t xml:space="preserve">MULTIPLIER</t>
  </si>
  <si>
    <t xml:space="preserve">METHODOLOGY NOTE</t>
  </si>
  <si>
    <t xml:space="preserve">REVENUE-GENERATING</t>
  </si>
  <si>
    <t xml:space="preserve">2026-Q1</t>
  </si>
  <si>
    <t xml:space="preserve">New revenue-bearing hires (enter number)</t>
  </si>
  <si>
    <t xml:space="preserve">Revenue-Generating</t>
  </si>
  <si>
    <t xml:space="preserve">1.4x</t>
  </si>
  <si>
    <t xml:space="preserve">Revenue hires × 1.4x first-year salary. Source: McKinsey talent productivity research</t>
  </si>
  <si>
    <t xml:space="preserve">Promotion unlocking deal capacity</t>
  </si>
  <si>
    <t xml:space="preserve">Same methodology as above</t>
  </si>
  <si>
    <t xml:space="preserve">SUBTOTAL — REVENUE-GENERATING</t>
  </si>
  <si>
    <t xml:space="preserve">COST-SAVING</t>
  </si>
  <si>
    <t xml:space="preserve">Retention of Star performers (enter count)</t>
  </si>
  <si>
    <t xml:space="preserve">Cost-Saving</t>
  </si>
  <si>
    <t xml:space="preserve">1.8x</t>
  </si>
  <si>
    <t xml:space="preserve">Stars retained × 1.8x annual salary = replacement cost avoided. Source: SHRM</t>
  </si>
  <si>
    <t xml:space="preserve">Internal mobility (avoided external hire)</t>
  </si>
  <si>
    <t xml:space="preserve">1.5x</t>
  </si>
  <si>
    <t xml:space="preserve">Internal fill × 1.5x salary = recruitment + onboarding cost avoided</t>
  </si>
  <si>
    <t xml:space="preserve">SUBTOTAL — COST-SAVING</t>
  </si>
  <si>
    <t xml:space="preserve">DEVELOPMENT</t>
  </si>
  <si>
    <t xml:space="preserve">L&amp;D programme investment</t>
  </si>
  <si>
    <t xml:space="preserve">Development</t>
  </si>
  <si>
    <t xml:space="preserve">2.8x</t>
  </si>
  <si>
    <t xml:space="preserve">Development spend × 2.8x DRI. Source: McKinsey L&amp;D ROI research</t>
  </si>
  <si>
    <t xml:space="preserve">Manager coaching programme</t>
  </si>
  <si>
    <t xml:space="preserve">Same DRI methodology</t>
  </si>
  <si>
    <t xml:space="preserve">SUBTOTAL — DEVELOPMENT</t>
  </si>
  <si>
    <t xml:space="preserve">CULTURE &amp; ENGAGEMENT</t>
  </si>
  <si>
    <t xml:space="preserve">Team engagement initiatives</t>
  </si>
  <si>
    <t xml:space="preserve">Culture &amp; Engagement</t>
  </si>
  <si>
    <t xml:space="preserve">8%/yr</t>
  </si>
  <si>
    <t xml:space="preserve">Engagement spend × 8% productivity premium (tenured staff). Source: Gallup</t>
  </si>
  <si>
    <t xml:space="preserve">Recognition programme</t>
  </si>
  <si>
    <t xml:space="preserve">Same engagement premium methodology</t>
  </si>
  <si>
    <t xml:space="preserve">SUBTOTAL — CULTURE &amp; ENGAGEMENT</t>
  </si>
  <si>
    <t xml:space="preserve">RISK &amp; COMPLIANCE</t>
  </si>
  <si>
    <t xml:space="preserve">At-risk employee interventions (enter count)</t>
  </si>
  <si>
    <t xml:space="preserve">Risk &amp; Compliance</t>
  </si>
  <si>
    <t xml:space="preserve">2.0x</t>
  </si>
  <si>
    <t xml:space="preserve">At-risk employees × 2x salary = unmanaged exit cost avoided. Source: Revenue Fluent RMV</t>
  </si>
  <si>
    <t xml:space="preserve">SUBTOTAL — RISK &amp; COMPLIANCE</t>
  </si>
  <si>
    <t xml:space="preserve">TOTAL HR INVESTMENT</t>
  </si>
  <si>
    <t xml:space="preserve">THE RATIO — For every 1 unit invested in HR, this organisation returns:</t>
  </si>
  <si>
    <t xml:space="preserve">↓ RATIO</t>
  </si>
  <si>
    <t xml:space="preserve">VALUE LEDGER — ASSUMPTIONS &amp; METHODOLOGY</t>
  </si>
  <si>
    <t xml:space="preserve">All multipliers are industry benchmarks. Replace with your org's verified data for maximum accuracy.</t>
  </si>
  <si>
    <t xml:space="preserve">VALUE</t>
  </si>
  <si>
    <t xml:space="preserve">WHAT IT REPRESENTS</t>
  </si>
  <si>
    <t xml:space="preserve">SOURCE</t>
  </si>
  <si>
    <t xml:space="preserve">Revenue hire contribution</t>
  </si>
  <si>
    <t xml:space="preserve">First-year revenue contribution relative to salary cost. Conservative estimate for revenue-bearing roles.</t>
  </si>
  <si>
    <t xml:space="preserve">McKinsey Global Institute talent productivity research</t>
  </si>
  <si>
    <t xml:space="preserve">Replacement cost — Stars</t>
  </si>
  <si>
    <t xml:space="preserve">Total cost to replace a Star: recruitment (0.6x) + onboarding (0.4x) + productivity ramp (0.8x).</t>
  </si>
  <si>
    <t xml:space="preserve">SHRM Human Capital Benchmarking Report</t>
  </si>
  <si>
    <t xml:space="preserve">Replacement cost — general</t>
  </si>
  <si>
    <t xml:space="preserve">General replacement cost for non-Star employees.</t>
  </si>
  <si>
    <t xml:space="preserve">Development Return Index</t>
  </si>
  <si>
    <t xml:space="preserve">Return on structured L&amp;D investment over 12 months.</t>
  </si>
  <si>
    <t xml:space="preserve">McKinsey L&amp;D ROI research; Bersin by Deloitte</t>
  </si>
  <si>
    <t xml:space="preserve">Engagement productivity premium</t>
  </si>
  <si>
    <t xml:space="preserve">8%</t>
  </si>
  <si>
    <t xml:space="preserve">Annual productivity premium for tenured engaged employees (5+ year tenure).</t>
  </si>
  <si>
    <t xml:space="preserve">Gallup State of the Global Workplace 2024</t>
  </si>
  <si>
    <t xml:space="preserve">Risk mitigation multiplier</t>
  </si>
  <si>
    <t xml:space="preserve">Unmanaged exit cost = 2x annual salary (recruitment + disruption + knowledge loss).</t>
  </si>
  <si>
    <t xml:space="preserve">Revenue Fluent RMV methodology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</si>
</sst>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0B830"/>
      <name val="Arial"/>
      <family val="0"/>
      <charset val="1"/>
    </font>
    <font>
      <i val="true"/>
      <sz val="10"/>
      <color rgb="FFD060B0"/>
      <name val="Arial"/>
      <family val="0"/>
      <charset val="1"/>
    </font>
    <font>
      <sz val="9"/>
      <color rgb="FFC8A8C0"/>
      <name val="Arial"/>
      <family val="0"/>
      <charset val="1"/>
    </font>
    <font>
      <b val="true"/>
      <sz val="9"/>
      <color rgb="FFD060B0"/>
      <name val="Arial"/>
      <family val="0"/>
      <charset val="1"/>
    </font>
    <font>
      <sz val="10"/>
      <color rgb="FFEED8E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E8C87A"/>
      <name val="Arial"/>
      <family val="0"/>
      <charset val="1"/>
    </font>
    <font>
      <i val="true"/>
      <sz val="8"/>
      <color rgb="FFC8A8C0"/>
      <name val="Arial"/>
      <family val="0"/>
      <charset val="1"/>
    </font>
    <font>
      <b val="true"/>
      <sz val="9"/>
      <color rgb="FFE8C87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EED8E8"/>
      <name val="Arial"/>
      <family val="0"/>
      <charset val="1"/>
    </font>
    <font>
      <b val="true"/>
      <sz val="11"/>
      <color rgb="FFE0B830"/>
      <name val="Arial"/>
      <family val="0"/>
      <charset val="1"/>
    </font>
    <font>
      <b val="true"/>
      <sz val="10"/>
      <color rgb="FFD060B0"/>
      <name val="Arial"/>
      <family val="0"/>
      <charset val="1"/>
    </font>
    <font>
      <b val="true"/>
      <sz val="13"/>
      <color rgb="FFE0B830"/>
      <name val="Arial"/>
      <family val="0"/>
      <charset val="1"/>
    </font>
    <font>
      <i val="true"/>
      <sz val="9"/>
      <color rgb="FFC8A8C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EED8E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608"/>
        <bgColor rgb="FF000000"/>
      </patternFill>
    </fill>
    <fill>
      <patternFill patternType="solid">
        <fgColor rgb="FF220E1A"/>
        <bgColor rgb="FF1A0E18"/>
      </patternFill>
    </fill>
    <fill>
      <patternFill patternType="solid">
        <fgColor rgb="FF180C14"/>
        <bgColor rgb="FF1A0E18"/>
      </patternFill>
    </fill>
    <fill>
      <patternFill patternType="solid">
        <fgColor rgb="FF1A0E18"/>
        <bgColor rgb="FF180C14"/>
      </patternFill>
    </fill>
    <fill>
      <patternFill patternType="solid">
        <fgColor rgb="FF2A0E22"/>
        <bgColor rgb="FF220E1A"/>
      </patternFill>
    </fill>
    <fill>
      <patternFill patternType="solid">
        <fgColor rgb="FF380820"/>
        <bgColor rgb="FF2A0E2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A1A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80C14"/>
      <rgbColor rgb="FF808000"/>
      <rgbColor rgb="FF800080"/>
      <rgbColor rgb="FF008080"/>
      <rgbColor rgb="FFC8A8C0"/>
      <rgbColor rgb="FF808080"/>
      <rgbColor rgb="FF9999FF"/>
      <rgbColor rgb="FF993366"/>
      <rgbColor rgb="FFFFFFCC"/>
      <rgbColor rgb="FFCCFFFF"/>
      <rgbColor rgb="FF380820"/>
      <rgbColor rgb="FFD060B0"/>
      <rgbColor rgb="FF0066CC"/>
      <rgbColor rgb="FFEED8E8"/>
      <rgbColor rgb="FF220E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87A"/>
      <rgbColor rgb="FF3366FF"/>
      <rgbColor rgb="FF33CCCC"/>
      <rgbColor rgb="FF99CC00"/>
      <rgbColor rgb="FFE0B830"/>
      <rgbColor rgb="FFFF9900"/>
      <rgbColor rgb="FFFF6600"/>
      <rgbColor rgb="FF666699"/>
      <rgbColor rgb="FF969696"/>
      <rgbColor rgb="FF0A0608"/>
      <rgbColor rgb="FF339966"/>
      <rgbColor rgb="FF1A0E18"/>
      <rgbColor rgb="FF2A0E22"/>
      <rgbColor rgb="FF993300"/>
      <rgbColor rgb="FF993366"/>
      <rgbColor rgb="FF333399"/>
      <rgbColor rgb="FF3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8" hidden="false" customHeight="true" outlineLevel="0" collapsed="false">
      <c r="A6" s="6" t="s">
        <v>11</v>
      </c>
      <c r="B6" s="6"/>
      <c r="C6" s="6"/>
      <c r="D6" s="6"/>
      <c r="E6" s="6"/>
      <c r="F6" s="6"/>
      <c r="G6" s="6"/>
      <c r="H6" s="6"/>
    </row>
    <row r="7" customFormat="false" ht="19.5" hidden="false" customHeight="true" outlineLevel="0" collapsed="false">
      <c r="A7" s="7" t="s">
        <v>12</v>
      </c>
      <c r="B7" s="7" t="s">
        <v>13</v>
      </c>
      <c r="C7" s="7" t="s">
        <v>14</v>
      </c>
      <c r="D7" s="8" t="n">
        <v>165000</v>
      </c>
      <c r="E7" s="9" t="n">
        <f aca="false">D7*1.4</f>
        <v>231000</v>
      </c>
      <c r="F7" s="9" t="n">
        <f aca="false">E7-D7</f>
        <v>66000</v>
      </c>
      <c r="G7" s="10" t="s">
        <v>15</v>
      </c>
      <c r="H7" s="11" t="s">
        <v>16</v>
      </c>
    </row>
    <row r="8" customFormat="false" ht="19.5" hidden="false" customHeight="true" outlineLevel="0" collapsed="false">
      <c r="A8" s="7" t="s">
        <v>12</v>
      </c>
      <c r="B8" s="7" t="s">
        <v>17</v>
      </c>
      <c r="C8" s="7" t="s">
        <v>14</v>
      </c>
      <c r="D8" s="8" t="n">
        <v>45000</v>
      </c>
      <c r="E8" s="9" t="n">
        <f aca="false">D8*1.4</f>
        <v>63000</v>
      </c>
      <c r="F8" s="9" t="n">
        <f aca="false">E8-D8</f>
        <v>18000</v>
      </c>
      <c r="G8" s="10" t="s">
        <v>15</v>
      </c>
      <c r="H8" s="11" t="s">
        <v>18</v>
      </c>
    </row>
    <row r="9" customFormat="false" ht="19.5" hidden="false" customHeight="true" outlineLevel="0" collapsed="false">
      <c r="A9" s="12"/>
      <c r="B9" s="13" t="s">
        <v>19</v>
      </c>
      <c r="C9" s="12"/>
      <c r="D9" s="14" t="n">
        <f aca="false">SUM(D7:D8)</f>
        <v>210000</v>
      </c>
      <c r="E9" s="14" t="n">
        <f aca="false">SUM(E7:E8)</f>
        <v>294000</v>
      </c>
      <c r="F9" s="14" t="n">
        <f aca="false">SUM(F7:F8)</f>
        <v>84000</v>
      </c>
      <c r="G9" s="12"/>
      <c r="H9" s="12"/>
    </row>
    <row r="10" customFormat="false" ht="7.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8" hidden="false" customHeight="true" outlineLevel="0" collapsed="false">
      <c r="A11" s="6" t="s">
        <v>20</v>
      </c>
      <c r="B11" s="6"/>
      <c r="C11" s="6"/>
      <c r="D11" s="6"/>
      <c r="E11" s="6"/>
      <c r="F11" s="6"/>
      <c r="G11" s="6"/>
      <c r="H11" s="6"/>
    </row>
    <row r="12" customFormat="false" ht="19.5" hidden="false" customHeight="true" outlineLevel="0" collapsed="false">
      <c r="A12" s="7" t="s">
        <v>12</v>
      </c>
      <c r="B12" s="7" t="s">
        <v>21</v>
      </c>
      <c r="C12" s="7" t="s">
        <v>22</v>
      </c>
      <c r="D12" s="8" t="n">
        <v>137000</v>
      </c>
      <c r="E12" s="9" t="n">
        <f aca="false">D11*1.8</f>
        <v>0</v>
      </c>
      <c r="F12" s="9" t="n">
        <f aca="false">E11-D11</f>
        <v>0</v>
      </c>
      <c r="G12" s="10" t="s">
        <v>23</v>
      </c>
      <c r="H12" s="11" t="s">
        <v>24</v>
      </c>
    </row>
    <row r="13" customFormat="false" ht="19.5" hidden="false" customHeight="true" outlineLevel="0" collapsed="false">
      <c r="A13" s="7" t="s">
        <v>12</v>
      </c>
      <c r="B13" s="7" t="s">
        <v>25</v>
      </c>
      <c r="C13" s="7" t="s">
        <v>22</v>
      </c>
      <c r="D13" s="8" t="n">
        <v>28000</v>
      </c>
      <c r="E13" s="9" t="n">
        <f aca="false">D12*1.5</f>
        <v>205500</v>
      </c>
      <c r="F13" s="9" t="n">
        <f aca="false">E12-D12</f>
        <v>-137000</v>
      </c>
      <c r="G13" s="10" t="s">
        <v>26</v>
      </c>
      <c r="H13" s="11" t="s">
        <v>27</v>
      </c>
    </row>
    <row r="14" customFormat="false" ht="19.5" hidden="false" customHeight="true" outlineLevel="0" collapsed="false">
      <c r="A14" s="12"/>
      <c r="B14" s="13" t="s">
        <v>28</v>
      </c>
      <c r="C14" s="12"/>
      <c r="D14" s="14" t="n">
        <f aca="false">SUM(D12:D13)</f>
        <v>165000</v>
      </c>
      <c r="E14" s="14" t="n">
        <f aca="false">SUM(E12:E13)</f>
        <v>205500</v>
      </c>
      <c r="F14" s="14" t="n">
        <f aca="false">SUM(F12:F13)</f>
        <v>-137000</v>
      </c>
      <c r="G14" s="12"/>
      <c r="H14" s="12"/>
    </row>
    <row r="15" customFormat="false" ht="7.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8" hidden="false" customHeight="true" outlineLevel="0" collapsed="false">
      <c r="A16" s="6" t="s">
        <v>29</v>
      </c>
      <c r="B16" s="6"/>
      <c r="C16" s="6"/>
      <c r="D16" s="6"/>
      <c r="E16" s="6"/>
      <c r="F16" s="6"/>
      <c r="G16" s="6"/>
      <c r="H16" s="6"/>
    </row>
    <row r="17" customFormat="false" ht="19.5" hidden="false" customHeight="true" outlineLevel="0" collapsed="false">
      <c r="A17" s="7" t="s">
        <v>12</v>
      </c>
      <c r="B17" s="7" t="s">
        <v>30</v>
      </c>
      <c r="C17" s="7" t="s">
        <v>31</v>
      </c>
      <c r="D17" s="8" t="n">
        <v>38000</v>
      </c>
      <c r="E17" s="9" t="n">
        <f aca="false">D15*2.8</f>
        <v>0</v>
      </c>
      <c r="F17" s="9" t="n">
        <f aca="false">E15-D15</f>
        <v>0</v>
      </c>
      <c r="G17" s="10" t="s">
        <v>32</v>
      </c>
      <c r="H17" s="11" t="s">
        <v>33</v>
      </c>
    </row>
    <row r="18" customFormat="false" ht="19.5" hidden="false" customHeight="true" outlineLevel="0" collapsed="false">
      <c r="A18" s="7" t="s">
        <v>12</v>
      </c>
      <c r="B18" s="7" t="s">
        <v>34</v>
      </c>
      <c r="C18" s="7" t="s">
        <v>31</v>
      </c>
      <c r="D18" s="8" t="n">
        <v>12000</v>
      </c>
      <c r="E18" s="9" t="n">
        <f aca="false">D16*2.8</f>
        <v>0</v>
      </c>
      <c r="F18" s="9" t="n">
        <f aca="false">E16-D16</f>
        <v>0</v>
      </c>
      <c r="G18" s="10" t="s">
        <v>32</v>
      </c>
      <c r="H18" s="11" t="s">
        <v>35</v>
      </c>
    </row>
    <row r="19" customFormat="false" ht="19.5" hidden="false" customHeight="true" outlineLevel="0" collapsed="false">
      <c r="A19" s="12"/>
      <c r="B19" s="13" t="s">
        <v>36</v>
      </c>
      <c r="C19" s="12"/>
      <c r="D19" s="14" t="n">
        <f aca="false">SUM(D17:D18)</f>
        <v>50000</v>
      </c>
      <c r="E19" s="14" t="n">
        <f aca="false">SUM(E17:E18)</f>
        <v>0</v>
      </c>
      <c r="F19" s="14" t="n">
        <f aca="false">SUM(F17:F18)</f>
        <v>0</v>
      </c>
      <c r="G19" s="12"/>
      <c r="H19" s="12"/>
    </row>
    <row r="20" customFormat="false" ht="7.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8" hidden="false" customHeight="true" outlineLevel="0" collapsed="false">
      <c r="A21" s="6" t="s">
        <v>37</v>
      </c>
      <c r="B21" s="6"/>
      <c r="C21" s="6"/>
      <c r="D21" s="6"/>
      <c r="E21" s="6"/>
      <c r="F21" s="6"/>
      <c r="G21" s="6"/>
      <c r="H21" s="6"/>
    </row>
    <row r="22" customFormat="false" ht="19.5" hidden="false" customHeight="true" outlineLevel="0" collapsed="false">
      <c r="A22" s="7" t="s">
        <v>12</v>
      </c>
      <c r="B22" s="7" t="s">
        <v>38</v>
      </c>
      <c r="C22" s="7" t="s">
        <v>39</v>
      </c>
      <c r="D22" s="8" t="n">
        <v>29000</v>
      </c>
      <c r="E22" s="9" t="n">
        <f aca="false">D19*0.08*12</f>
        <v>48000</v>
      </c>
      <c r="F22" s="9" t="n">
        <f aca="false">E19-D19</f>
        <v>-50000</v>
      </c>
      <c r="G22" s="10" t="s">
        <v>40</v>
      </c>
      <c r="H22" s="11" t="s">
        <v>41</v>
      </c>
    </row>
    <row r="23" customFormat="false" ht="19.5" hidden="false" customHeight="true" outlineLevel="0" collapsed="false">
      <c r="A23" s="7" t="s">
        <v>12</v>
      </c>
      <c r="B23" s="7" t="s">
        <v>42</v>
      </c>
      <c r="C23" s="7" t="s">
        <v>39</v>
      </c>
      <c r="D23" s="8" t="n">
        <v>8000</v>
      </c>
      <c r="E23" s="9" t="n">
        <f aca="false">D20*0.08*12</f>
        <v>0</v>
      </c>
      <c r="F23" s="9" t="n">
        <f aca="false">E20-D20</f>
        <v>0</v>
      </c>
      <c r="G23" s="10" t="s">
        <v>40</v>
      </c>
      <c r="H23" s="11" t="s">
        <v>43</v>
      </c>
    </row>
    <row r="24" customFormat="false" ht="19.5" hidden="false" customHeight="true" outlineLevel="0" collapsed="false">
      <c r="A24" s="12"/>
      <c r="B24" s="13" t="s">
        <v>44</v>
      </c>
      <c r="C24" s="12"/>
      <c r="D24" s="14" t="n">
        <f aca="false">SUM(D22:D23)</f>
        <v>37000</v>
      </c>
      <c r="E24" s="14" t="n">
        <f aca="false">SUM(E22:E23)</f>
        <v>48000</v>
      </c>
      <c r="F24" s="14" t="n">
        <f aca="false">SUM(F22:F23)</f>
        <v>-50000</v>
      </c>
      <c r="G24" s="12"/>
      <c r="H24" s="12"/>
    </row>
    <row r="25" customFormat="false" ht="7.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8" hidden="false" customHeight="true" outlineLevel="0" collapsed="false">
      <c r="A26" s="6" t="s">
        <v>45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12</v>
      </c>
      <c r="B27" s="7" t="s">
        <v>46</v>
      </c>
      <c r="C27" s="7" t="s">
        <v>47</v>
      </c>
      <c r="D27" s="8" t="n">
        <v>37000</v>
      </c>
      <c r="E27" s="9" t="n">
        <f aca="false">D23*2</f>
        <v>16000</v>
      </c>
      <c r="F27" s="9" t="n">
        <f aca="false">E23-D23</f>
        <v>-8000</v>
      </c>
      <c r="G27" s="10" t="s">
        <v>48</v>
      </c>
      <c r="H27" s="11" t="s">
        <v>49</v>
      </c>
    </row>
    <row r="28" customFormat="false" ht="19.5" hidden="false" customHeight="true" outlineLevel="0" collapsed="false">
      <c r="A28" s="12"/>
      <c r="B28" s="13" t="s">
        <v>50</v>
      </c>
      <c r="C28" s="12"/>
      <c r="D28" s="14" t="n">
        <f aca="false">SUM(D27:D27)</f>
        <v>37000</v>
      </c>
      <c r="E28" s="14" t="n">
        <f aca="false">SUM(E27:E27)</f>
        <v>16000</v>
      </c>
      <c r="F28" s="14" t="n">
        <f aca="false">SUM(F27:F27)</f>
        <v>-8000</v>
      </c>
      <c r="G28" s="12"/>
      <c r="H28" s="12"/>
    </row>
    <row r="29" customFormat="false" ht="7.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21.75" hidden="false" customHeight="true" outlineLevel="0" collapsed="false">
      <c r="A30" s="15"/>
      <c r="B30" s="16" t="s">
        <v>51</v>
      </c>
      <c r="C30" s="15"/>
      <c r="D30" s="17" t="n">
        <f aca="false">D7+D8+D11+D12+D15+D16+D19+D20+D23</f>
        <v>405000</v>
      </c>
      <c r="E30" s="17" t="n">
        <f aca="false">E7+E8+E11+E12+E15+E16+E19+E20+E23</f>
        <v>294000</v>
      </c>
      <c r="F30" s="17" t="n">
        <f aca="false">E30-D30</f>
        <v>-111000</v>
      </c>
      <c r="G30" s="15"/>
      <c r="H30" s="15"/>
    </row>
    <row r="31" customFormat="false" ht="27.75" hidden="false" customHeight="true" outlineLevel="0" collapsed="false">
      <c r="A31" s="18" t="s">
        <v>52</v>
      </c>
      <c r="B31" s="18"/>
      <c r="C31" s="18"/>
      <c r="D31" s="19" t="s">
        <v>53</v>
      </c>
      <c r="E31" s="20" t="n">
        <f aca="false">IF(D30&gt;0,E30/D30,0)</f>
        <v>0.725925925925926</v>
      </c>
      <c r="F31" s="21"/>
      <c r="G31" s="21"/>
      <c r="H31" s="21"/>
    </row>
  </sheetData>
  <mergeCells count="9">
    <mergeCell ref="A1:H1"/>
    <mergeCell ref="A2:H2"/>
    <mergeCell ref="A3:H3"/>
    <mergeCell ref="A6:H6"/>
    <mergeCell ref="A11:H11"/>
    <mergeCell ref="A16:H16"/>
    <mergeCell ref="A21:H21"/>
    <mergeCell ref="A26:H26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22" t="s">
        <v>54</v>
      </c>
      <c r="B1" s="22"/>
      <c r="C1" s="22"/>
      <c r="D1" s="22"/>
    </row>
    <row r="2" customFormat="false" ht="15" hidden="false" customHeight="false" outlineLevel="0" collapsed="false">
      <c r="A2" s="23" t="s">
        <v>55</v>
      </c>
      <c r="B2" s="23"/>
      <c r="C2" s="23"/>
      <c r="D2" s="23"/>
    </row>
    <row r="3" customFormat="false" ht="15" hidden="false" customHeight="false" outlineLevel="0" collapsed="false">
      <c r="A3" s="4"/>
      <c r="B3" s="4"/>
      <c r="C3" s="4"/>
      <c r="D3" s="4"/>
    </row>
    <row r="4" customFormat="false" ht="15" hidden="false" customHeight="false" outlineLevel="0" collapsed="false">
      <c r="A4" s="4" t="s">
        <v>9</v>
      </c>
      <c r="B4" s="4" t="s">
        <v>56</v>
      </c>
      <c r="C4" s="4" t="s">
        <v>57</v>
      </c>
      <c r="D4" s="4" t="s">
        <v>58</v>
      </c>
    </row>
    <row r="5" customFormat="false" ht="15" hidden="false" customHeight="false" outlineLevel="0" collapsed="false">
      <c r="A5" s="24" t="s">
        <v>59</v>
      </c>
      <c r="B5" s="24" t="s">
        <v>15</v>
      </c>
      <c r="C5" s="24" t="s">
        <v>60</v>
      </c>
      <c r="D5" s="24" t="s">
        <v>61</v>
      </c>
    </row>
    <row r="6" customFormat="false" ht="21.75" hidden="false" customHeight="true" outlineLevel="0" collapsed="false">
      <c r="A6" s="7" t="s">
        <v>62</v>
      </c>
      <c r="B6" s="25" t="s">
        <v>23</v>
      </c>
      <c r="C6" s="26" t="s">
        <v>63</v>
      </c>
      <c r="D6" s="27" t="s">
        <v>64</v>
      </c>
    </row>
    <row r="7" customFormat="false" ht="21.75" hidden="false" customHeight="true" outlineLevel="0" collapsed="false">
      <c r="A7" s="7" t="s">
        <v>65</v>
      </c>
      <c r="B7" s="25" t="s">
        <v>26</v>
      </c>
      <c r="C7" s="26" t="s">
        <v>66</v>
      </c>
      <c r="D7" s="27" t="s">
        <v>64</v>
      </c>
    </row>
    <row r="8" customFormat="false" ht="21.75" hidden="false" customHeight="true" outlineLevel="0" collapsed="false">
      <c r="A8" s="7" t="s">
        <v>67</v>
      </c>
      <c r="B8" s="25" t="s">
        <v>32</v>
      </c>
      <c r="C8" s="26" t="s">
        <v>68</v>
      </c>
      <c r="D8" s="27" t="s">
        <v>69</v>
      </c>
    </row>
    <row r="9" customFormat="false" ht="21.75" hidden="false" customHeight="true" outlineLevel="0" collapsed="false">
      <c r="A9" s="7" t="s">
        <v>70</v>
      </c>
      <c r="B9" s="25" t="s">
        <v>71</v>
      </c>
      <c r="C9" s="26" t="s">
        <v>72</v>
      </c>
      <c r="D9" s="27" t="s">
        <v>73</v>
      </c>
    </row>
    <row r="10" customFormat="false" ht="21.75" hidden="false" customHeight="true" outlineLevel="0" collapsed="false">
      <c r="A10" s="7" t="s">
        <v>74</v>
      </c>
      <c r="B10" s="25" t="s">
        <v>48</v>
      </c>
      <c r="C10" s="26" t="s">
        <v>75</v>
      </c>
      <c r="D10" s="27" t="s">
        <v>76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2026-06-08T08:23:47Z</dcterms:created>
  <dc:creator>openpyxl</dc:creator>
  <dc:description/>
  <dc:language>en-US</dc:language>
  <cp:lastModifiedBy/>
  <dcterms:modified xsi:type="dcterms:W3CDTF">2026-06-08T08:23:47Z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