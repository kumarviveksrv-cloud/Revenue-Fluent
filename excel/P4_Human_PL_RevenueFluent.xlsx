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man 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<sst xmlns="http://schemas.openxmlformats.org/spreadsheetml/2006/main" count="54" uniqueCount="51">
  <si>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THE HUMAN P&amp;L  —  Revenue Fluent</t>
  </si>
  <si>
    <t xml:space="preserve">HR has always had a P&amp;L. Nobody taught them to read it. Until now.</t>
  </si>
  <si>
    <t xml:space="preserve">BLUE = your inputs  |  BLACK = formulas  |  Replace sample values with your organisation's actual numbers</t>
  </si>
  <si>
    <t xml:space="preserve">LINE ITEM</t>
  </si>
  <si>
    <t xml:space="preserve">YOUR VALUE</t>
  </si>
  <si>
    <t xml:space="preserve">METHODOLOGY NOTE</t>
  </si>
  <si>
    <t xml:space="preserve">HUMAN REVENUE</t>
  </si>
  <si>
    <t xml:space="preserve">Talent Acquisition Value</t>
  </si>
  <si>
    <t xml:space="preserve">Revenue hires × 1.4x first-year salary. Source: McKinsey</t>
  </si>
  <si>
    <t xml:space="preserve">Retention Savings</t>
  </si>
  <si>
    <t xml:space="preserve">Stars retained × 1.5x salary × 30%. Source: SHRM</t>
  </si>
  <si>
    <t xml:space="preserve">Performance Uplift</t>
  </si>
  <si>
    <t xml:space="preserve">Emerging Talent × salary × 8%. Source: Gallup</t>
  </si>
  <si>
    <t xml:space="preserve">Culture Premium</t>
  </si>
  <si>
    <t xml:space="preserve">Tenured employees × salary × 6%. Source: HBR</t>
  </si>
  <si>
    <t xml:space="preserve">= TOTAL HUMAN REVENUE</t>
  </si>
  <si>
    <t xml:space="preserve">Auto-calculated</t>
  </si>
  <si>
    <t xml:space="preserve">HUMAN COST OF GOODS (COGS)</t>
  </si>
  <si>
    <t xml:space="preserve">Total Compensation Cost</t>
  </si>
  <si>
    <t xml:space="preserve">Total salaries + benefits + bonuses</t>
  </si>
  <si>
    <t xml:space="preserve">Acquisition Cost</t>
  </si>
  <si>
    <t xml:space="preserve">Revenue hires × salary × 15%. Industry standard: 12-18%</t>
  </si>
  <si>
    <t xml:space="preserve">Development Investment</t>
  </si>
  <si>
    <t xml:space="preserve">Emerging Talent × salary × 4%. Typical: 2-5%</t>
  </si>
  <si>
    <t xml:space="preserve">= TOTAL HUMAN COGS</t>
  </si>
  <si>
    <t xml:space="preserve">HUMAN GROSS MARGIN</t>
  </si>
  <si>
    <t xml:space="preserve">Total Revenue − Total COGS</t>
  </si>
  <si>
    <t xml:space="preserve">Gross Margin %</t>
  </si>
  <si>
    <t xml:space="preserve">Human Gross Margin / Total Human Revenue</t>
  </si>
  <si>
    <t xml:space="preserve">HUMAN OPERATING EXPENSES (OpEx)</t>
  </si>
  <si>
    <t xml:space="preserve">HR Function Cost</t>
  </si>
  <si>
    <t xml:space="preserve">Total comp × 4%. Typical range: 3-5%</t>
  </si>
  <si>
    <t xml:space="preserve">Compliance &amp; Administration</t>
  </si>
  <si>
    <t xml:space="preserve">Total comp × 1.5%. Typical: 1-2%</t>
  </si>
  <si>
    <t xml:space="preserve">Culture &amp; Engagement Spend</t>
  </si>
  <si>
    <t xml:space="preserve">Total comp × 2%. Typical: 1.5-3%</t>
  </si>
  <si>
    <t xml:space="preserve">= TOTAL HUMAN OPEX</t>
  </si>
  <si>
    <t xml:space="preserve">HUMAN OPERATING PROFIT</t>
  </si>
  <si>
    <t xml:space="preserve">Gross Margin − Total OpEx</t>
  </si>
  <si>
    <t xml:space="preserve">HUMAN ADJUSTMENTS (below the line)</t>
  </si>
  <si>
    <t xml:space="preserve">Flight Risk Liability</t>
  </si>
  <si>
    <t xml:space="preserve">At-risk employees × salary × 60%. Conservative</t>
  </si>
  <si>
    <t xml:space="preserve">Skill Debt Provision</t>
  </si>
  <si>
    <t xml:space="preserve">Total comp × 3%. Conservative provision</t>
  </si>
  <si>
    <t xml:space="preserve">Growth Readiness Gap</t>
  </si>
  <si>
    <t xml:space="preserve">Total comp × 2%. Conservative provision</t>
  </si>
  <si>
    <t xml:space="preserve">= TOTAL HUMAN ADJUSTMENTS</t>
  </si>
  <si>
    <t xml:space="preserve">HUMAN NET PROFIT / LOSS</t>
  </si>
  <si>
    <t xml:space="preserve">Operating Profit + Adjustments</t>
  </si>
  <si>
    <t xml:space="preserve">THE RATIO — For every 1 unit invested in HR, this org returns:</t>
  </si>
  <si>
    <t xml:space="preserve">Total Human Revenue / Total Human COGS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</si>
</sst>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B830"/>
      <name val="Arial"/>
      <family val="0"/>
      <charset val="1"/>
    </font>
    <font>
      <i val="true"/>
      <sz val="10"/>
      <color rgb="FFD060B0"/>
      <name val="Arial"/>
      <family val="0"/>
      <charset val="1"/>
    </font>
    <font>
      <sz val="9"/>
      <color rgb="FFC8A8C0"/>
      <name val="Arial"/>
      <family val="0"/>
      <charset val="1"/>
    </font>
    <font>
      <b val="true"/>
      <sz val="9"/>
      <color rgb="FFD060B0"/>
      <name val="Arial"/>
      <family val="0"/>
      <charset val="1"/>
    </font>
    <font>
      <sz val="10"/>
      <color rgb="FFEED8E8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C8A8C0"/>
      <name val="Arial"/>
      <family val="0"/>
      <charset val="1"/>
    </font>
    <font>
      <b val="true"/>
      <sz val="10"/>
      <color rgb="FFE8C8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i val="true"/>
      <sz val="10"/>
      <color rgb="FFE8C87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E0B830"/>
      <name val="Arial"/>
      <family val="0"/>
      <charset val="1"/>
    </font>
    <font>
      <b val="true"/>
      <sz val="16"/>
      <color rgb="FFE0B83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608"/>
        <bgColor rgb="FF000000"/>
      </patternFill>
    </fill>
    <fill>
      <patternFill patternType="solid">
        <fgColor rgb="FF220E1A"/>
        <bgColor rgb="FF1A0E18"/>
      </patternFill>
    </fill>
    <fill>
      <patternFill patternType="solid">
        <fgColor rgb="FF180C14"/>
        <bgColor rgb="FF1A0E18"/>
      </patternFill>
    </fill>
    <fill>
      <patternFill patternType="solid">
        <fgColor rgb="FF1A0E18"/>
        <bgColor rgb="FF180C14"/>
      </patternFill>
    </fill>
    <fill>
      <patternFill patternType="solid">
        <fgColor rgb="FF2A0E22"/>
        <bgColor rgb="FF220E1A"/>
      </patternFill>
    </fill>
    <fill>
      <patternFill patternType="solid">
        <fgColor rgb="FF380820"/>
        <bgColor rgb="FF2A0E2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14"/>
      <rgbColor rgb="FF808000"/>
      <rgbColor rgb="FF800080"/>
      <rgbColor rgb="FF008080"/>
      <rgbColor rgb="FFC8A8C0"/>
      <rgbColor rgb="FF808080"/>
      <rgbColor rgb="FF9999FF"/>
      <rgbColor rgb="FF993366"/>
      <rgbColor rgb="FFFFFFCC"/>
      <rgbColor rgb="FFCCFFFF"/>
      <rgbColor rgb="FF380820"/>
      <rgbColor rgb="FFD060B0"/>
      <rgbColor rgb="FF0066CC"/>
      <rgbColor rgb="FFEED8E8"/>
      <rgbColor rgb="FF0A060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87A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03366"/>
      <rgbColor rgb="FF339966"/>
      <rgbColor rgb="FF1A0E18"/>
      <rgbColor rgb="FF220E1A"/>
      <rgbColor rgb="FF993300"/>
      <rgbColor rgb="FF993366"/>
      <rgbColor rgb="FF333399"/>
      <rgbColor rgb="FF2A0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13.5" hidden="false" customHeight="true" outlineLevel="0" collapsed="false">
      <c r="A3" s="4" t="s">
        <v>2</v>
      </c>
      <c r="B3" s="4"/>
      <c r="C3" s="4"/>
    </row>
    <row r="4" customFormat="false" ht="7.5" hidden="false" customHeight="true" outlineLevel="0" collapsed="false">
      <c r="A4" s="5"/>
      <c r="B4" s="5"/>
      <c r="C4" s="5"/>
    </row>
    <row r="5" customFormat="false" ht="19.5" hidden="false" customHeight="true" outlineLevel="0" collapsed="false">
      <c r="A5" s="6" t="s">
        <v>3</v>
      </c>
      <c r="B5" s="6" t="s">
        <v>4</v>
      </c>
      <c r="C5" s="6" t="s">
        <v>5</v>
      </c>
    </row>
    <row r="6" customFormat="false" ht="18" hidden="false" customHeight="true" outlineLevel="0" collapsed="false">
      <c r="A6" s="7" t="s">
        <v>6</v>
      </c>
      <c r="B6" s="7"/>
      <c r="C6" s="7"/>
    </row>
    <row r="7" customFormat="false" ht="19.5" hidden="false" customHeight="true" outlineLevel="0" collapsed="false">
      <c r="A7" s="8" t="s">
        <v>7</v>
      </c>
      <c r="B7" s="9" t="n">
        <v>1200000</v>
      </c>
      <c r="C7" s="10" t="s">
        <v>8</v>
      </c>
    </row>
    <row r="8" customFormat="false" ht="19.5" hidden="false" customHeight="true" outlineLevel="0" collapsed="false">
      <c r="A8" s="8" t="s">
        <v>9</v>
      </c>
      <c r="B8" s="9" t="n">
        <v>820000</v>
      </c>
      <c r="C8" s="10" t="s">
        <v>10</v>
      </c>
    </row>
    <row r="9" customFormat="false" ht="19.5" hidden="false" customHeight="true" outlineLevel="0" collapsed="false">
      <c r="A9" s="8" t="s">
        <v>11</v>
      </c>
      <c r="B9" s="9" t="n">
        <v>340000</v>
      </c>
      <c r="C9" s="10" t="s">
        <v>12</v>
      </c>
    </row>
    <row r="10" customFormat="false" ht="19.5" hidden="false" customHeight="true" outlineLevel="0" collapsed="false">
      <c r="A10" s="8" t="s">
        <v>13</v>
      </c>
      <c r="B10" s="9" t="n">
        <v>410000</v>
      </c>
      <c r="C10" s="10" t="s">
        <v>14</v>
      </c>
    </row>
    <row r="11" customFormat="false" ht="21.75" hidden="false" customHeight="true" outlineLevel="0" collapsed="false">
      <c r="A11" s="11" t="s">
        <v>15</v>
      </c>
      <c r="B11" s="12" t="n">
        <f aca="false">SUM(B7:B10)</f>
        <v>2770000</v>
      </c>
      <c r="C11" s="13" t="s">
        <v>16</v>
      </c>
    </row>
    <row r="12" customFormat="false" ht="7.5" hidden="false" customHeight="true" outlineLevel="0" collapsed="false">
      <c r="A12" s="5"/>
      <c r="B12" s="5"/>
      <c r="C12" s="5"/>
    </row>
    <row r="13" customFormat="false" ht="18" hidden="false" customHeight="true" outlineLevel="0" collapsed="false">
      <c r="A13" s="7" t="s">
        <v>17</v>
      </c>
      <c r="B13" s="7"/>
      <c r="C13" s="7"/>
    </row>
    <row r="14" customFormat="false" ht="19.5" hidden="false" customHeight="true" outlineLevel="0" collapsed="false">
      <c r="A14" s="8" t="s">
        <v>18</v>
      </c>
      <c r="B14" s="9" t="n">
        <v>6660000</v>
      </c>
      <c r="C14" s="10" t="s">
        <v>19</v>
      </c>
    </row>
    <row r="15" customFormat="false" ht="19.5" hidden="false" customHeight="true" outlineLevel="0" collapsed="false">
      <c r="A15" s="8" t="s">
        <v>20</v>
      </c>
      <c r="B15" s="9" t="n">
        <v>165000</v>
      </c>
      <c r="C15" s="10" t="s">
        <v>21</v>
      </c>
    </row>
    <row r="16" customFormat="false" ht="19.5" hidden="false" customHeight="true" outlineLevel="0" collapsed="false">
      <c r="A16" s="8" t="s">
        <v>22</v>
      </c>
      <c r="B16" s="9" t="n">
        <v>38000</v>
      </c>
      <c r="C16" s="10" t="s">
        <v>23</v>
      </c>
    </row>
    <row r="17" customFormat="false" ht="21.75" hidden="false" customHeight="true" outlineLevel="0" collapsed="false">
      <c r="A17" s="11" t="s">
        <v>24</v>
      </c>
      <c r="B17" s="12" t="n">
        <f aca="false">SUM(B14:B16)</f>
        <v>6863000</v>
      </c>
      <c r="C17" s="13" t="s">
        <v>16</v>
      </c>
    </row>
    <row r="18" customFormat="false" ht="7.5" hidden="false" customHeight="true" outlineLevel="0" collapsed="false">
      <c r="A18" s="5"/>
      <c r="B18" s="5"/>
      <c r="C18" s="5"/>
    </row>
    <row r="19" customFormat="false" ht="24" hidden="false" customHeight="true" outlineLevel="0" collapsed="false">
      <c r="A19" s="14" t="s">
        <v>25</v>
      </c>
      <c r="B19" s="15" t="n">
        <f aca="false">B11-B17</f>
        <v>-4093000</v>
      </c>
      <c r="C19" s="16" t="s">
        <v>26</v>
      </c>
    </row>
    <row r="20" customFormat="false" ht="18" hidden="false" customHeight="true" outlineLevel="0" collapsed="false">
      <c r="A20" s="17" t="s">
        <v>27</v>
      </c>
      <c r="B20" s="18" t="n">
        <f aca="false">IF(B11&gt;0,B19/B11,0)</f>
        <v>-1.47761732851986</v>
      </c>
      <c r="C20" s="16" t="s">
        <v>28</v>
      </c>
    </row>
    <row r="21" customFormat="false" ht="7.5" hidden="false" customHeight="true" outlineLevel="0" collapsed="false">
      <c r="A21" s="5"/>
      <c r="B21" s="5"/>
      <c r="C21" s="5"/>
    </row>
    <row r="22" customFormat="false" ht="18" hidden="false" customHeight="true" outlineLevel="0" collapsed="false">
      <c r="A22" s="7" t="s">
        <v>29</v>
      </c>
      <c r="B22" s="7"/>
      <c r="C22" s="7"/>
    </row>
    <row r="23" customFormat="false" ht="19.5" hidden="false" customHeight="true" outlineLevel="0" collapsed="false">
      <c r="A23" s="8" t="s">
        <v>30</v>
      </c>
      <c r="B23" s="9" t="n">
        <v>266000</v>
      </c>
      <c r="C23" s="10" t="s">
        <v>31</v>
      </c>
    </row>
    <row r="24" customFormat="false" ht="19.5" hidden="false" customHeight="true" outlineLevel="0" collapsed="false">
      <c r="A24" s="8" t="s">
        <v>32</v>
      </c>
      <c r="B24" s="9" t="n">
        <v>99000</v>
      </c>
      <c r="C24" s="10" t="s">
        <v>33</v>
      </c>
    </row>
    <row r="25" customFormat="false" ht="19.5" hidden="false" customHeight="true" outlineLevel="0" collapsed="false">
      <c r="A25" s="8" t="s">
        <v>34</v>
      </c>
      <c r="B25" s="9" t="n">
        <v>133000</v>
      </c>
      <c r="C25" s="10" t="s">
        <v>35</v>
      </c>
    </row>
    <row r="26" customFormat="false" ht="21.75" hidden="false" customHeight="true" outlineLevel="0" collapsed="false">
      <c r="A26" s="11" t="s">
        <v>36</v>
      </c>
      <c r="B26" s="12" t="n">
        <f aca="false">SUM(B23:B25)</f>
        <v>498000</v>
      </c>
      <c r="C26" s="13" t="s">
        <v>16</v>
      </c>
    </row>
    <row r="27" customFormat="false" ht="7.5" hidden="false" customHeight="true" outlineLevel="0" collapsed="false">
      <c r="A27" s="5"/>
      <c r="B27" s="5"/>
      <c r="C27" s="5"/>
    </row>
    <row r="28" customFormat="false" ht="24" hidden="false" customHeight="true" outlineLevel="0" collapsed="false">
      <c r="A28" s="14" t="s">
        <v>37</v>
      </c>
      <c r="B28" s="15" t="n">
        <f aca="false">B19-B26</f>
        <v>-4591000</v>
      </c>
      <c r="C28" s="16" t="s">
        <v>38</v>
      </c>
    </row>
    <row r="29" customFormat="false" ht="7.5" hidden="false" customHeight="true" outlineLevel="0" collapsed="false">
      <c r="A29" s="5"/>
      <c r="B29" s="5"/>
      <c r="C29" s="5"/>
    </row>
    <row r="30" customFormat="false" ht="18" hidden="false" customHeight="true" outlineLevel="0" collapsed="false">
      <c r="A30" s="7" t="s">
        <v>39</v>
      </c>
      <c r="B30" s="7"/>
      <c r="C30" s="7"/>
    </row>
    <row r="31" customFormat="false" ht="19.5" hidden="false" customHeight="true" outlineLevel="0" collapsed="false">
      <c r="A31" s="8" t="s">
        <v>40</v>
      </c>
      <c r="B31" s="9" t="n">
        <v>-184000</v>
      </c>
      <c r="C31" s="10" t="s">
        <v>41</v>
      </c>
    </row>
    <row r="32" customFormat="false" ht="19.5" hidden="false" customHeight="true" outlineLevel="0" collapsed="false">
      <c r="A32" s="8" t="s">
        <v>42</v>
      </c>
      <c r="B32" s="9" t="n">
        <v>-199000</v>
      </c>
      <c r="C32" s="10" t="s">
        <v>43</v>
      </c>
    </row>
    <row r="33" customFormat="false" ht="19.5" hidden="false" customHeight="true" outlineLevel="0" collapsed="false">
      <c r="A33" s="8" t="s">
        <v>44</v>
      </c>
      <c r="B33" s="9" t="n">
        <v>-133000</v>
      </c>
      <c r="C33" s="10" t="s">
        <v>45</v>
      </c>
    </row>
    <row r="34" customFormat="false" ht="21.75" hidden="false" customHeight="true" outlineLevel="0" collapsed="false">
      <c r="A34" s="11" t="s">
        <v>46</v>
      </c>
      <c r="B34" s="12" t="n">
        <f aca="false">SUM(B31:B33)</f>
        <v>-516000</v>
      </c>
      <c r="C34" s="13" t="s">
        <v>16</v>
      </c>
    </row>
    <row r="35" customFormat="false" ht="7.5" hidden="false" customHeight="true" outlineLevel="0" collapsed="false">
      <c r="A35" s="5"/>
      <c r="B35" s="5"/>
      <c r="C35" s="5"/>
    </row>
    <row r="36" customFormat="false" ht="27.75" hidden="false" customHeight="true" outlineLevel="0" collapsed="false">
      <c r="A36" s="19" t="s">
        <v>47</v>
      </c>
      <c r="B36" s="20" t="n">
        <f aca="false">B28+B34</f>
        <v>-5107000</v>
      </c>
      <c r="C36" s="21" t="s">
        <v>48</v>
      </c>
    </row>
    <row r="37" customFormat="false" ht="7.5" hidden="false" customHeight="true" outlineLevel="0" collapsed="false">
      <c r="A37" s="5"/>
      <c r="B37" s="5"/>
      <c r="C37" s="5"/>
    </row>
    <row r="38" customFormat="false" ht="31.5" hidden="false" customHeight="true" outlineLevel="0" collapsed="false">
      <c r="A38" s="22" t="s">
        <v>49</v>
      </c>
      <c r="B38" s="23" t="n">
        <f aca="false">IF(B17&gt;0,(B11)/B17,0)</f>
        <v>0.403613580067026</v>
      </c>
      <c r="C38" s="21" t="s">
        <v>50</v>
      </c>
    </row>
  </sheetData>
  <mergeCells count="7">
    <mergeCell ref="A1:C1"/>
    <mergeCell ref="A2:C2"/>
    <mergeCell ref="A3:C3"/>
    <mergeCell ref="A6:C6"/>
    <mergeCell ref="A13:C13"/>
    <mergeCell ref="A22:C2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2026-06-08T08:25:54Z</dcterms:created>
  <dc:creator>openpyxl</dc:creator>
  <dc:description/>
  <dc:language>en-US</dc:language>
  <cp:lastModifiedBy/>
  <dcterms:modified xsi:type="dcterms:W3CDTF">2026-06-08T08:26:21Z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