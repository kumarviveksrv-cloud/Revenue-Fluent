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Vital Signs Reading" sheetId="2" state="visible" r:id="rId4"/>
    <sheet name="Intervention Simulato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<sst xmlns="http://schemas.openxmlformats.org/spreadsheetml/2006/main" count="125" uniqueCount="77">
  <si>
    <t xml:space="preserve">REVENUE FLUENT</t>
  </si>
  <si>
    <t xml:space="preserve">L3: Org Vitals</t>
  </si>
  <si>
    <t xml:space="preserve">You have been calling it culture. It is actually five vital signs.</t>
  </si>
  <si>
    <t xml:space="preserve">COLOUR GUIDE</t>
  </si>
  <si>
    <t xml:space="preserve">Blue text = Input cells (enter your org data here)</t>
  </si>
  <si>
    <t xml:space="preserve">Black text = Formula cells (auto-calculate, do not edit)</t>
  </si>
  <si>
    <t xml:space="preserve">Purple background = Total / summary rows</t>
  </si>
  <si>
    <t xml:space="preserve">HOW TO USE</t>
  </si>
  <si>
    <t xml:space="preserve">1. Go to 'Vital Signs Reading' — answer YES/NO for each signal</t>
  </si>
  <si>
    <t xml:space="preserve">2. Go to 'Intervention Simulator' — enter cost and recovery estimates</t>
  </si>
  <si>
    <t xml:space="preserve">3. The financial impact and cost-of-doing-nothing auto-calculate</t>
  </si>
  <si>
    <t xml:space="preserve">4. Select which interventions to implement — the combined impact updates</t>
  </si>
  <si>
    <t xml:space="preserve">5. Use the board summary row to build your presentation</t>
  </si>
  <si>
    <t xml:space="preserve">Built on Humacity  ·  humacity.com</t>
  </si>
  <si>
    <t xml:space="preserve">ORG VITALS  —  Five Vital Signs Reading</t>
  </si>
  <si>
    <t xml:space="preserve">Revenue Fluent  ·  humacity.com</t>
  </si>
  <si>
    <t xml:space="preserve">YES = Healthy  |  NO = Warning/Critical  |  Enter YES or NO in column D</t>
  </si>
  <si>
    <t xml:space="preserve">VITAL SIGN</t>
  </si>
  <si>
    <t xml:space="preserve">SIGNAL / OBSERVABLE</t>
  </si>
  <si>
    <t xml:space="preserve">YOUR READING</t>
  </si>
  <si>
    <t xml:space="preserve">STATUS</t>
  </si>
  <si>
    <t xml:space="preserve">CAUSAL NOTE</t>
  </si>
  <si>
    <t xml:space="preserve">Leadership Pulse</t>
  </si>
  <si>
    <t xml:space="preserve">CEO sets clear direction and communicates it regularly</t>
  </si>
  <si>
    <t xml:space="preserve">YES</t>
  </si>
  <si>
    <t xml:space="preserve">Leadership decisions move at pace — no chronic bottlenecks</t>
  </si>
  <si>
    <t xml:space="preserve">Energy flows downward — teams feel direction, not vacuum</t>
  </si>
  <si>
    <t xml:space="preserve">Leaders model the behaviours they expect from others</t>
  </si>
  <si>
    <t xml:space="preserve">Leadership Pulse — Score</t>
  </si>
  <si>
    <t xml:space="preserve">Fear Index</t>
  </si>
  <si>
    <t xml:space="preserve">People raise problems without fear of consequence</t>
  </si>
  <si>
    <t xml:space="preserve">Mistakes are treated as learning, not blame events</t>
  </si>
  <si>
    <t xml:space="preserve">Knowledge is shared freely, not hoarded as protection</t>
  </si>
  <si>
    <t xml:space="preserve">People challenge decisions when they believe them wrong</t>
  </si>
  <si>
    <t xml:space="preserve">Fear Index — Score</t>
  </si>
  <si>
    <t xml:space="preserve">Middle Layer Health</t>
  </si>
  <si>
    <t xml:space="preserve">Managers hold difficult conversations with their teams</t>
  </si>
  <si>
    <t xml:space="preserve">Middle managers develop their people, not just direct them</t>
  </si>
  <si>
    <t xml:space="preserve">Strategy translates clearly from leadership to frontline</t>
  </si>
  <si>
    <t xml:space="preserve">Experienced people sponsor new talent, not block it</t>
  </si>
  <si>
    <t xml:space="preserve">Middle Layer Health — Score</t>
  </si>
  <si>
    <t xml:space="preserve">Execution Fidelity</t>
  </si>
  <si>
    <t xml:space="preserve">Activity is consistently connected to measurable outcome</t>
  </si>
  <si>
    <t xml:space="preserve">Meetings produce decisions, not just discussion</t>
  </si>
  <si>
    <t xml:space="preserve">Projects move from intent to completion at reasonable pace</t>
  </si>
  <si>
    <t xml:space="preserve">Metrics measure outcomes, not just inputs or effort</t>
  </si>
  <si>
    <t xml:space="preserve">Execution Fidelity — Score</t>
  </si>
  <si>
    <t xml:space="preserve">HR Mirror</t>
  </si>
  <si>
    <t xml:space="preserve">HR is actively present in strategic conversations</t>
  </si>
  <si>
    <t xml:space="preserve">Exit management is handled with care and used as data</t>
  </si>
  <si>
    <t xml:space="preserve">Onboarding is structured and sets people up to succeed</t>
  </si>
  <si>
    <t xml:space="preserve">HR measures its own effectiveness, not just activity</t>
  </si>
  <si>
    <t xml:space="preserve">HR Mirror — Score</t>
  </si>
  <si>
    <t xml:space="preserve">ORG VITALS  —  Intervention Simulator</t>
  </si>
  <si>
    <t xml:space="preserve">Select interventions to implement. Financial impact auto-calculates.</t>
  </si>
  <si>
    <t xml:space="preserve">Annual compensation base (from Assumptions)</t>
  </si>
  <si>
    <t xml:space="preserve">INTERVENTION</t>
  </si>
  <si>
    <t xml:space="preserve">IMPLEMENT?
(YES/NO)</t>
  </si>
  <si>
    <t xml:space="preserve">COST</t>
  </si>
  <si>
    <t xml:space="preserve">PRODUCTIVITY
RECOVERY %</t>
  </si>
  <si>
    <t xml:space="preserve">RECOVERY VALUE</t>
  </si>
  <si>
    <t xml:space="preserve">TIMEFRAME
(DAYS)</t>
  </si>
  <si>
    <t xml:space="preserve">NOTES</t>
  </si>
  <si>
    <t xml:space="preserve">Structured monthly all-hands with open Q&amp;A</t>
  </si>
  <si>
    <t xml:space="preserve">Manager effectiveness training programme</t>
  </si>
  <si>
    <t xml:space="preserve">Psychological safety workshop series</t>
  </si>
  <si>
    <t xml:space="preserve">NO</t>
  </si>
  <si>
    <t xml:space="preserve">Skip-level listening sessions (quarterly)</t>
  </si>
  <si>
    <t xml:space="preserve">Knowledge documentation sprint</t>
  </si>
  <si>
    <t xml:space="preserve">Structured onboarding rebuild</t>
  </si>
  <si>
    <t xml:space="preserve">Exit interview process redesign</t>
  </si>
  <si>
    <t xml:space="preserve">OKR alignment workshop</t>
  </si>
  <si>
    <t xml:space="preserve">SIMULATION SUMMARY</t>
  </si>
  <si>
    <t xml:space="preserve">Total intervention cost</t>
  </si>
  <si>
    <t xml:space="preserve">Total productivity recovery value</t>
  </si>
  <si>
    <t xml:space="preserve">Net benefit</t>
  </si>
  <si>
    <t xml:space="preserve">Cost of doing nothing (annual)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</si>
</sst>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"/>
    <numFmt numFmtId="167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0409A"/>
      <name val="Arial"/>
      <family val="0"/>
      <charset val="1"/>
    </font>
    <font>
      <b val="true"/>
      <sz val="18"/>
      <color rgb="FFE0B830"/>
      <name val="Arial"/>
      <family val="0"/>
      <charset val="1"/>
    </font>
    <font>
      <i val="true"/>
      <sz val="11"/>
      <color rgb="FF4A3060"/>
      <name val="Arial"/>
      <family val="0"/>
      <charset val="1"/>
    </font>
    <font>
      <b val="true"/>
      <sz val="10"/>
      <color rgb="FFC0409A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1A1020"/>
      <name val="Arial"/>
      <family val="0"/>
      <charset val="1"/>
    </font>
    <font>
      <sz val="10"/>
      <color rgb="FF4A3060"/>
      <name val="Arial"/>
      <family val="0"/>
      <charset val="1"/>
    </font>
    <font>
      <i val="true"/>
      <sz val="9"/>
      <color rgb="FFC0409A"/>
      <name val="Arial"/>
      <family val="0"/>
      <charset val="1"/>
    </font>
    <font>
      <b val="true"/>
      <sz val="11"/>
      <color rgb="FFE0B830"/>
      <name val="Arial"/>
      <family val="0"/>
      <charset val="1"/>
    </font>
    <font>
      <i val="true"/>
      <sz val="9"/>
      <color rgb="FF4A306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A102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4A306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9E6"/>
        <bgColor rgb="FFFFFFFF"/>
      </patternFill>
    </fill>
    <fill>
      <patternFill patternType="solid">
        <fgColor rgb="FFFFFFFF"/>
        <bgColor rgb="FFFFF9E6"/>
      </patternFill>
    </fill>
    <fill>
      <patternFill patternType="solid">
        <fgColor rgb="FFF0E8FF"/>
        <bgColor rgb="FFFFF9E6"/>
      </patternFill>
    </fill>
    <fill>
      <patternFill patternType="solid">
        <fgColor rgb="FF1A1020"/>
        <bgColor rgb="FF2A1535"/>
      </patternFill>
    </fill>
    <fill>
      <patternFill patternType="solid">
        <fgColor rgb="FF2A1535"/>
        <bgColor rgb="FF1A102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0409A"/>
      </bottom>
      <diagonal/>
    </border>
    <border diagonalUp="false" diagonalDown="false">
      <left style="thin">
        <color rgb="FFD0B0E0"/>
      </left>
      <right style="thin">
        <color rgb="FFD0B0E0"/>
      </right>
      <top style="thin">
        <color rgb="FFD0B0E0"/>
      </top>
      <bottom style="thin">
        <color rgb="FFD0B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8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B0E0"/>
      <rgbColor rgb="FF808080"/>
      <rgbColor rgb="FF9999FF"/>
      <rgbColor rgb="FFC0409A"/>
      <rgbColor rgb="FFFFF9E6"/>
      <rgbColor rgb="FFF0E8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E0B830"/>
      <rgbColor rgb="FFFF9900"/>
      <rgbColor rgb="FFFF6600"/>
      <rgbColor rgb="FF666699"/>
      <rgbColor rgb="FF969696"/>
      <rgbColor rgb="FF003366"/>
      <rgbColor rgb="FF339966"/>
      <rgbColor rgb="FF1A1020"/>
      <rgbColor rgb="FF2A1535"/>
      <rgbColor rgb="FF993300"/>
      <rgbColor rgb="FF993366"/>
      <rgbColor rgb="FF333399"/>
      <rgbColor rgb="FF4A306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0"/>
    <col collapsed="false" customWidth="true" hidden="false" outlineLevel="0" max="3" min="3" style="0" width="20"/>
  </cols>
  <sheetData>
    <row r="2" customFormat="false" ht="17.35" hidden="false" customHeight="false" outlineLevel="0" collapsed="false">
      <c r="B2" s="1" t="s">
        <v>0</v>
      </c>
    </row>
    <row r="3" customFormat="false" ht="22.0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5" t="s">
        <v>4</v>
      </c>
    </row>
    <row r="8" customFormat="false" ht="15" hidden="false" customHeight="false" outlineLevel="0" collapsed="false">
      <c r="B8" s="6" t="s">
        <v>5</v>
      </c>
    </row>
    <row r="9" customFormat="false" ht="15" hidden="false" customHeight="false" outlineLevel="0" collapsed="false">
      <c r="B9" s="7" t="s">
        <v>6</v>
      </c>
    </row>
    <row r="11" customFormat="false" ht="15" hidden="false" customHeight="false" outlineLevel="0" collapsed="false">
      <c r="B11" s="4" t="s">
        <v>7</v>
      </c>
    </row>
    <row r="12" customFormat="false" ht="15" hidden="false" customHeight="false" outlineLevel="0" collapsed="false">
      <c r="B12" s="8" t="s">
        <v>8</v>
      </c>
    </row>
    <row r="13" customFormat="false" ht="15" hidden="false" customHeight="false" outlineLevel="0" collapsed="false">
      <c r="B13" s="8" t="s">
        <v>9</v>
      </c>
    </row>
    <row r="14" customFormat="false" ht="15" hidden="false" customHeight="false" outlineLevel="0" collapsed="false">
      <c r="B14" s="8" t="s">
        <v>10</v>
      </c>
    </row>
    <row r="15" customFormat="false" ht="23.85" hidden="false" customHeight="false" outlineLevel="0" collapsed="false">
      <c r="B15" s="8" t="s">
        <v>11</v>
      </c>
    </row>
    <row r="16" customFormat="false" ht="15" hidden="false" customHeight="false" outlineLevel="0" collapsed="false">
      <c r="B16" s="8" t="s">
        <v>12</v>
      </c>
    </row>
    <row r="19" customFormat="false" ht="15" hidden="false" customHeight="false" outlineLevel="0" collapsed="false">
      <c r="B19" s="9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24"/>
  </cols>
  <sheetData>
    <row r="2" customFormat="false" ht="15" hidden="false" customHeight="false" outlineLevel="0" collapsed="false">
      <c r="B2" s="10" t="s">
        <v>14</v>
      </c>
      <c r="C2" s="10"/>
      <c r="D2" s="10"/>
      <c r="E2" s="10"/>
      <c r="F2" s="10"/>
    </row>
    <row r="3" customFormat="false" ht="15" hidden="false" customHeight="false" outlineLevel="0" collapsed="false">
      <c r="B3" s="9" t="s">
        <v>15</v>
      </c>
    </row>
    <row r="4" customFormat="false" ht="15" hidden="false" customHeight="false" outlineLevel="0" collapsed="false">
      <c r="B4" s="11" t="s">
        <v>16</v>
      </c>
    </row>
    <row r="6" customFormat="false" ht="15" hidden="false" customHeight="false" outlineLevel="0" collapsed="false">
      <c r="B6" s="12" t="s">
        <v>17</v>
      </c>
      <c r="C6" s="12" t="s">
        <v>18</v>
      </c>
      <c r="D6" s="12" t="s">
        <v>19</v>
      </c>
      <c r="E6" s="12" t="s">
        <v>20</v>
      </c>
      <c r="F6" s="12" t="s">
        <v>21</v>
      </c>
    </row>
    <row r="7" customFormat="false" ht="15" hidden="false" customHeight="false" outlineLevel="0" collapsed="false">
      <c r="B7" s="13" t="s">
        <v>22</v>
      </c>
      <c r="C7" s="13"/>
      <c r="D7" s="13"/>
      <c r="E7" s="13"/>
      <c r="F7" s="13"/>
    </row>
    <row r="8" customFormat="false" ht="15" hidden="false" customHeight="false" outlineLevel="0" collapsed="false">
      <c r="B8" s="14" t="s">
        <v>22</v>
      </c>
      <c r="C8" s="15" t="s">
        <v>23</v>
      </c>
      <c r="D8" s="16" t="s">
        <v>24</v>
      </c>
      <c r="E8" s="17" t="str">
        <f aca="false">IF(D8="YES","HEALTHY",IF(D8="NO","WARNING","ENTER YES/NO"))</f>
        <v>HEALTHY</v>
      </c>
      <c r="F8" s="16"/>
    </row>
    <row r="9" customFormat="false" ht="15" hidden="false" customHeight="false" outlineLevel="0" collapsed="false">
      <c r="B9" s="14" t="s">
        <v>22</v>
      </c>
      <c r="C9" s="15" t="s">
        <v>25</v>
      </c>
      <c r="D9" s="16" t="s">
        <v>24</v>
      </c>
      <c r="E9" s="17" t="str">
        <f aca="false">IF(D9="YES","HEALTHY",IF(D9="NO","WARNING","ENTER YES/NO"))</f>
        <v>HEALTHY</v>
      </c>
      <c r="F9" s="16"/>
    </row>
    <row r="10" customFormat="false" ht="15" hidden="false" customHeight="false" outlineLevel="0" collapsed="false">
      <c r="B10" s="14" t="s">
        <v>22</v>
      </c>
      <c r="C10" s="15" t="s">
        <v>26</v>
      </c>
      <c r="D10" s="16" t="s">
        <v>24</v>
      </c>
      <c r="E10" s="17" t="str">
        <f aca="false">IF(D10="YES","HEALTHY",IF(D10="NO","WARNING","ENTER YES/NO"))</f>
        <v>HEALTHY</v>
      </c>
      <c r="F10" s="16"/>
    </row>
    <row r="11" customFormat="false" ht="15" hidden="false" customHeight="false" outlineLevel="0" collapsed="false">
      <c r="B11" s="14" t="s">
        <v>22</v>
      </c>
      <c r="C11" s="15" t="s">
        <v>27</v>
      </c>
      <c r="D11" s="16" t="s">
        <v>24</v>
      </c>
      <c r="E11" s="17" t="str">
        <f aca="false">IF(D11="YES","HEALTHY",IF(D11="NO","WARNING","ENTER YES/NO"))</f>
        <v>HEALTHY</v>
      </c>
      <c r="F11" s="16"/>
    </row>
    <row r="12" customFormat="false" ht="15" hidden="false" customHeight="false" outlineLevel="0" collapsed="false">
      <c r="B12" s="18" t="s">
        <v>28</v>
      </c>
      <c r="C12" s="18"/>
      <c r="D12" s="19" t="str">
        <f aca="false">COUNTIF(D8:D11,"YES")&amp;"/4"</f>
        <v>4/4</v>
      </c>
      <c r="E12" s="20" t="str">
        <f aca="false">IF(COUNTIF(D8:D11,"YES")=4,"HEALTHY",IF(COUNTIF(D8:D11,"YES")&gt;=2,"WARNING","CRITICAL"))</f>
        <v>HEALTHY</v>
      </c>
    </row>
    <row r="14" customFormat="false" ht="15" hidden="false" customHeight="false" outlineLevel="0" collapsed="false">
      <c r="B14" s="13" t="s">
        <v>29</v>
      </c>
      <c r="C14" s="13"/>
      <c r="D14" s="13"/>
      <c r="E14" s="13"/>
      <c r="F14" s="13"/>
    </row>
    <row r="15" customFormat="false" ht="15" hidden="false" customHeight="false" outlineLevel="0" collapsed="false">
      <c r="B15" s="14" t="s">
        <v>29</v>
      </c>
      <c r="C15" s="15" t="s">
        <v>30</v>
      </c>
      <c r="D15" s="16" t="s">
        <v>24</v>
      </c>
      <c r="E15" s="17" t="str">
        <f aca="false">IF(D15="YES","HEALTHY",IF(D15="NO","WARNING","ENTER YES/NO"))</f>
        <v>HEALTHY</v>
      </c>
      <c r="F15" s="16"/>
    </row>
    <row r="16" customFormat="false" ht="15" hidden="false" customHeight="false" outlineLevel="0" collapsed="false">
      <c r="B16" s="14" t="s">
        <v>29</v>
      </c>
      <c r="C16" s="15" t="s">
        <v>31</v>
      </c>
      <c r="D16" s="16" t="s">
        <v>24</v>
      </c>
      <c r="E16" s="17" t="str">
        <f aca="false">IF(D16="YES","HEALTHY",IF(D16="NO","WARNING","ENTER YES/NO"))</f>
        <v>HEALTHY</v>
      </c>
      <c r="F16" s="16"/>
    </row>
    <row r="17" customFormat="false" ht="15" hidden="false" customHeight="false" outlineLevel="0" collapsed="false">
      <c r="B17" s="14" t="s">
        <v>29</v>
      </c>
      <c r="C17" s="15" t="s">
        <v>32</v>
      </c>
      <c r="D17" s="16" t="s">
        <v>24</v>
      </c>
      <c r="E17" s="17" t="str">
        <f aca="false">IF(D17="YES","HEALTHY",IF(D17="NO","WARNING","ENTER YES/NO"))</f>
        <v>HEALTHY</v>
      </c>
      <c r="F17" s="16"/>
    </row>
    <row r="18" customFormat="false" ht="15" hidden="false" customHeight="false" outlineLevel="0" collapsed="false">
      <c r="B18" s="14" t="s">
        <v>29</v>
      </c>
      <c r="C18" s="15" t="s">
        <v>33</v>
      </c>
      <c r="D18" s="16" t="s">
        <v>24</v>
      </c>
      <c r="E18" s="17" t="str">
        <f aca="false">IF(D18="YES","HEALTHY",IF(D18="NO","WARNING","ENTER YES/NO"))</f>
        <v>HEALTHY</v>
      </c>
      <c r="F18" s="16"/>
    </row>
    <row r="19" customFormat="false" ht="15" hidden="false" customHeight="false" outlineLevel="0" collapsed="false">
      <c r="B19" s="18" t="s">
        <v>34</v>
      </c>
      <c r="C19" s="18"/>
      <c r="D19" s="19" t="str">
        <f aca="false">COUNTIF(D15:D18,"YES")&amp;"/4"</f>
        <v>4/4</v>
      </c>
      <c r="E19" s="20" t="str">
        <f aca="false">IF(COUNTIF(D15:D18,"YES")=4,"HEALTHY",IF(COUNTIF(D15:D18,"YES")&gt;=2,"WARNING","CRITICAL"))</f>
        <v>HEALTHY</v>
      </c>
    </row>
    <row r="21" customFormat="false" ht="15" hidden="false" customHeight="false" outlineLevel="0" collapsed="false">
      <c r="B21" s="13" t="s">
        <v>35</v>
      </c>
      <c r="C21" s="13"/>
      <c r="D21" s="13"/>
      <c r="E21" s="13"/>
      <c r="F21" s="13"/>
    </row>
    <row r="22" customFormat="false" ht="15" hidden="false" customHeight="false" outlineLevel="0" collapsed="false">
      <c r="B22" s="14" t="s">
        <v>35</v>
      </c>
      <c r="C22" s="15" t="s">
        <v>36</v>
      </c>
      <c r="D22" s="16" t="s">
        <v>24</v>
      </c>
      <c r="E22" s="17" t="str">
        <f aca="false">IF(D22="YES","HEALTHY",IF(D22="NO","WARNING","ENTER YES/NO"))</f>
        <v>HEALTHY</v>
      </c>
      <c r="F22" s="16"/>
    </row>
    <row r="23" customFormat="false" ht="15" hidden="false" customHeight="false" outlineLevel="0" collapsed="false">
      <c r="B23" s="14" t="s">
        <v>35</v>
      </c>
      <c r="C23" s="15" t="s">
        <v>37</v>
      </c>
      <c r="D23" s="16" t="s">
        <v>24</v>
      </c>
      <c r="E23" s="17" t="str">
        <f aca="false">IF(D23="YES","HEALTHY",IF(D23="NO","WARNING","ENTER YES/NO"))</f>
        <v>HEALTHY</v>
      </c>
      <c r="F23" s="16"/>
    </row>
    <row r="24" customFormat="false" ht="15" hidden="false" customHeight="false" outlineLevel="0" collapsed="false">
      <c r="B24" s="14" t="s">
        <v>35</v>
      </c>
      <c r="C24" s="15" t="s">
        <v>38</v>
      </c>
      <c r="D24" s="16" t="s">
        <v>24</v>
      </c>
      <c r="E24" s="17" t="str">
        <f aca="false">IF(D24="YES","HEALTHY",IF(D24="NO","WARNING","ENTER YES/NO"))</f>
        <v>HEALTHY</v>
      </c>
      <c r="F24" s="16"/>
    </row>
    <row r="25" customFormat="false" ht="15" hidden="false" customHeight="false" outlineLevel="0" collapsed="false">
      <c r="B25" s="14" t="s">
        <v>35</v>
      </c>
      <c r="C25" s="15" t="s">
        <v>39</v>
      </c>
      <c r="D25" s="16" t="s">
        <v>24</v>
      </c>
      <c r="E25" s="17" t="str">
        <f aca="false">IF(D25="YES","HEALTHY",IF(D25="NO","WARNING","ENTER YES/NO"))</f>
        <v>HEALTHY</v>
      </c>
      <c r="F25" s="16"/>
    </row>
    <row r="26" customFormat="false" ht="15" hidden="false" customHeight="false" outlineLevel="0" collapsed="false">
      <c r="B26" s="18" t="s">
        <v>40</v>
      </c>
      <c r="C26" s="18"/>
      <c r="D26" s="19" t="str">
        <f aca="false">COUNTIF(D22:D25,"YES")&amp;"/4"</f>
        <v>4/4</v>
      </c>
      <c r="E26" s="20" t="str">
        <f aca="false">IF(COUNTIF(D22:D25,"YES")=4,"HEALTHY",IF(COUNTIF(D22:D25,"YES")&gt;=2,"WARNING","CRITICAL"))</f>
        <v>HEALTHY</v>
      </c>
    </row>
    <row r="28" customFormat="false" ht="15" hidden="false" customHeight="false" outlineLevel="0" collapsed="false">
      <c r="B28" s="13" t="s">
        <v>41</v>
      </c>
      <c r="C28" s="13"/>
      <c r="D28" s="13"/>
      <c r="E28" s="13"/>
      <c r="F28" s="13"/>
    </row>
    <row r="29" customFormat="false" ht="15" hidden="false" customHeight="false" outlineLevel="0" collapsed="false">
      <c r="B29" s="14" t="s">
        <v>41</v>
      </c>
      <c r="C29" s="15" t="s">
        <v>42</v>
      </c>
      <c r="D29" s="16" t="s">
        <v>24</v>
      </c>
      <c r="E29" s="17" t="str">
        <f aca="false">IF(D29="YES","HEALTHY",IF(D29="NO","WARNING","ENTER YES/NO"))</f>
        <v>HEALTHY</v>
      </c>
      <c r="F29" s="16"/>
    </row>
    <row r="30" customFormat="false" ht="15" hidden="false" customHeight="false" outlineLevel="0" collapsed="false">
      <c r="B30" s="14" t="s">
        <v>41</v>
      </c>
      <c r="C30" s="15" t="s">
        <v>43</v>
      </c>
      <c r="D30" s="16" t="s">
        <v>24</v>
      </c>
      <c r="E30" s="17" t="str">
        <f aca="false">IF(D30="YES","HEALTHY",IF(D30="NO","WARNING","ENTER YES/NO"))</f>
        <v>HEALTHY</v>
      </c>
      <c r="F30" s="16"/>
    </row>
    <row r="31" customFormat="false" ht="15" hidden="false" customHeight="false" outlineLevel="0" collapsed="false">
      <c r="B31" s="14" t="s">
        <v>41</v>
      </c>
      <c r="C31" s="15" t="s">
        <v>44</v>
      </c>
      <c r="D31" s="16" t="s">
        <v>24</v>
      </c>
      <c r="E31" s="17" t="str">
        <f aca="false">IF(D31="YES","HEALTHY",IF(D31="NO","WARNING","ENTER YES/NO"))</f>
        <v>HEALTHY</v>
      </c>
      <c r="F31" s="16"/>
    </row>
    <row r="32" customFormat="false" ht="15" hidden="false" customHeight="false" outlineLevel="0" collapsed="false">
      <c r="B32" s="14" t="s">
        <v>41</v>
      </c>
      <c r="C32" s="15" t="s">
        <v>45</v>
      </c>
      <c r="D32" s="16" t="s">
        <v>24</v>
      </c>
      <c r="E32" s="17" t="str">
        <f aca="false">IF(D32="YES","HEALTHY",IF(D32="NO","WARNING","ENTER YES/NO"))</f>
        <v>HEALTHY</v>
      </c>
      <c r="F32" s="16"/>
    </row>
    <row r="33" customFormat="false" ht="15" hidden="false" customHeight="false" outlineLevel="0" collapsed="false">
      <c r="B33" s="18" t="s">
        <v>46</v>
      </c>
      <c r="C33" s="18"/>
      <c r="D33" s="19" t="str">
        <f aca="false">COUNTIF(D29:D32,"YES")&amp;"/4"</f>
        <v>4/4</v>
      </c>
      <c r="E33" s="20" t="str">
        <f aca="false">IF(COUNTIF(D29:D32,"YES")=4,"HEALTHY",IF(COUNTIF(D29:D32,"YES")&gt;=2,"WARNING","CRITICAL"))</f>
        <v>HEALTHY</v>
      </c>
    </row>
    <row r="35" customFormat="false" ht="15" hidden="false" customHeight="false" outlineLevel="0" collapsed="false">
      <c r="B35" s="13" t="s">
        <v>47</v>
      </c>
      <c r="C35" s="13"/>
      <c r="D35" s="13"/>
      <c r="E35" s="13"/>
      <c r="F35" s="13"/>
    </row>
    <row r="36" customFormat="false" ht="15" hidden="false" customHeight="false" outlineLevel="0" collapsed="false">
      <c r="B36" s="14" t="s">
        <v>47</v>
      </c>
      <c r="C36" s="15" t="s">
        <v>48</v>
      </c>
      <c r="D36" s="16" t="s">
        <v>24</v>
      </c>
      <c r="E36" s="17" t="str">
        <f aca="false">IF(D36="YES","HEALTHY",IF(D36="NO","WARNING","ENTER YES/NO"))</f>
        <v>HEALTHY</v>
      </c>
      <c r="F36" s="16"/>
    </row>
    <row r="37" customFormat="false" ht="15" hidden="false" customHeight="false" outlineLevel="0" collapsed="false">
      <c r="B37" s="14" t="s">
        <v>47</v>
      </c>
      <c r="C37" s="15" t="s">
        <v>49</v>
      </c>
      <c r="D37" s="16" t="s">
        <v>24</v>
      </c>
      <c r="E37" s="17" t="str">
        <f aca="false">IF(D37="YES","HEALTHY",IF(D37="NO","WARNING","ENTER YES/NO"))</f>
        <v>HEALTHY</v>
      </c>
      <c r="F37" s="16"/>
    </row>
    <row r="38" customFormat="false" ht="15" hidden="false" customHeight="false" outlineLevel="0" collapsed="false">
      <c r="B38" s="14" t="s">
        <v>47</v>
      </c>
      <c r="C38" s="15" t="s">
        <v>50</v>
      </c>
      <c r="D38" s="16" t="s">
        <v>24</v>
      </c>
      <c r="E38" s="17" t="str">
        <f aca="false">IF(D38="YES","HEALTHY",IF(D38="NO","WARNING","ENTER YES/NO"))</f>
        <v>HEALTHY</v>
      </c>
      <c r="F38" s="16"/>
    </row>
    <row r="39" customFormat="false" ht="15" hidden="false" customHeight="false" outlineLevel="0" collapsed="false">
      <c r="B39" s="14" t="s">
        <v>47</v>
      </c>
      <c r="C39" s="15" t="s">
        <v>51</v>
      </c>
      <c r="D39" s="16" t="s">
        <v>24</v>
      </c>
      <c r="E39" s="17" t="str">
        <f aca="false">IF(D39="YES","HEALTHY",IF(D39="NO","WARNING","ENTER YES/NO"))</f>
        <v>HEALTHY</v>
      </c>
      <c r="F39" s="16"/>
    </row>
    <row r="40" customFormat="false" ht="15" hidden="false" customHeight="false" outlineLevel="0" collapsed="false">
      <c r="B40" s="18" t="s">
        <v>52</v>
      </c>
      <c r="C40" s="18"/>
      <c r="D40" s="19" t="str">
        <f aca="false">COUNTIF(D36:D39,"YES")&amp;"/4"</f>
        <v>4/4</v>
      </c>
      <c r="E40" s="20" t="str">
        <f aca="false">IF(COUNTIF(D36:D39,"YES")=4,"HEALTHY",IF(COUNTIF(D36:D39,"YES")&gt;=2,"WARNING","CRITICAL"))</f>
        <v>HEALTHY</v>
      </c>
    </row>
  </sheetData>
  <mergeCells count="11">
    <mergeCell ref="B2:F2"/>
    <mergeCell ref="B7:F7"/>
    <mergeCell ref="B12:C12"/>
    <mergeCell ref="B14:F14"/>
    <mergeCell ref="B19:C19"/>
    <mergeCell ref="B21:F21"/>
    <mergeCell ref="B26:C26"/>
    <mergeCell ref="B28:F28"/>
    <mergeCell ref="B33:C33"/>
    <mergeCell ref="B35:F35"/>
    <mergeCell ref="B40:C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8"/>
  </cols>
  <sheetData>
    <row r="2" customFormat="false" ht="15" hidden="false" customHeight="false" outlineLevel="0" collapsed="false">
      <c r="B2" s="10" t="s">
        <v>53</v>
      </c>
      <c r="C2" s="10"/>
      <c r="D2" s="10"/>
      <c r="E2" s="10"/>
      <c r="F2" s="10"/>
      <c r="G2" s="10"/>
      <c r="H2" s="10"/>
    </row>
    <row r="3" customFormat="false" ht="15" hidden="false" customHeight="false" outlineLevel="0" collapsed="false">
      <c r="B3" s="21" t="s">
        <v>54</v>
      </c>
    </row>
    <row r="5" customFormat="false" ht="15" hidden="false" customHeight="false" outlineLevel="0" collapsed="false">
      <c r="B5" s="14" t="s">
        <v>55</v>
      </c>
      <c r="C5" s="22" t="n">
        <v>50000000</v>
      </c>
    </row>
    <row r="7" customFormat="false" ht="15" hidden="false" customHeight="false" outlineLevel="0" collapsed="false">
      <c r="B7" s="12" t="s">
        <v>56</v>
      </c>
      <c r="C7" s="23" t="s">
        <v>57</v>
      </c>
      <c r="D7" s="12" t="s">
        <v>58</v>
      </c>
      <c r="E7" s="23" t="s">
        <v>59</v>
      </c>
      <c r="F7" s="12" t="s">
        <v>60</v>
      </c>
      <c r="G7" s="23" t="s">
        <v>61</v>
      </c>
      <c r="H7" s="12" t="s">
        <v>62</v>
      </c>
    </row>
    <row r="8" customFormat="false" ht="15" hidden="false" customHeight="false" outlineLevel="0" collapsed="false">
      <c r="B8" s="16" t="s">
        <v>63</v>
      </c>
      <c r="C8" s="16" t="s">
        <v>24</v>
      </c>
      <c r="D8" s="22" t="n">
        <v>150000</v>
      </c>
      <c r="E8" s="24" t="n">
        <v>0.04</v>
      </c>
      <c r="F8" s="25" t="n">
        <f aca="false">IF(B8&lt;&gt;"",IF(C8="YES",C$5*E8,0),0)</f>
        <v>2000000</v>
      </c>
      <c r="G8" s="22" t="n">
        <v>90</v>
      </c>
      <c r="H8" s="16"/>
    </row>
    <row r="9" customFormat="false" ht="15" hidden="false" customHeight="false" outlineLevel="0" collapsed="false">
      <c r="B9" s="16" t="s">
        <v>64</v>
      </c>
      <c r="C9" s="16" t="s">
        <v>24</v>
      </c>
      <c r="D9" s="22" t="n">
        <v>280000</v>
      </c>
      <c r="E9" s="24" t="n">
        <v>0.06</v>
      </c>
      <c r="F9" s="25" t="n">
        <f aca="false">IF(B9&lt;&gt;"",IF(C9="YES",C$5*E9,0),0)</f>
        <v>3000000</v>
      </c>
      <c r="G9" s="22" t="n">
        <v>120</v>
      </c>
      <c r="H9" s="16"/>
    </row>
    <row r="10" customFormat="false" ht="15" hidden="false" customHeight="false" outlineLevel="0" collapsed="false">
      <c r="B10" s="16" t="s">
        <v>65</v>
      </c>
      <c r="C10" s="16" t="s">
        <v>66</v>
      </c>
      <c r="D10" s="22" t="n">
        <v>180000</v>
      </c>
      <c r="E10" s="24" t="n">
        <v>0.05</v>
      </c>
      <c r="F10" s="25" t="n">
        <f aca="false">IF(B10&lt;&gt;"",IF(C10="YES",C$5*E10,0),0)</f>
        <v>0</v>
      </c>
      <c r="G10" s="22" t="n">
        <v>90</v>
      </c>
      <c r="H10" s="16"/>
    </row>
    <row r="11" customFormat="false" ht="15" hidden="false" customHeight="false" outlineLevel="0" collapsed="false">
      <c r="B11" s="16" t="s">
        <v>67</v>
      </c>
      <c r="C11" s="16" t="s">
        <v>24</v>
      </c>
      <c r="D11" s="22" t="n">
        <v>80000</v>
      </c>
      <c r="E11" s="24" t="n">
        <v>0.03</v>
      </c>
      <c r="F11" s="25" t="n">
        <f aca="false">IF(B11&lt;&gt;"",IF(C11="YES",C$5*E11,0),0)</f>
        <v>1500000</v>
      </c>
      <c r="G11" s="22" t="n">
        <v>60</v>
      </c>
      <c r="H11" s="16"/>
    </row>
    <row r="12" customFormat="false" ht="15" hidden="false" customHeight="false" outlineLevel="0" collapsed="false">
      <c r="B12" s="16" t="s">
        <v>68</v>
      </c>
      <c r="C12" s="16" t="s">
        <v>66</v>
      </c>
      <c r="D12" s="22" t="n">
        <v>120000</v>
      </c>
      <c r="E12" s="24" t="n">
        <v>0.04</v>
      </c>
      <c r="F12" s="25" t="n">
        <f aca="false">IF(B12&lt;&gt;"",IF(C12="YES",C$5*E12,0),0)</f>
        <v>0</v>
      </c>
      <c r="G12" s="22" t="n">
        <v>45</v>
      </c>
      <c r="H12" s="16"/>
    </row>
    <row r="13" customFormat="false" ht="15" hidden="false" customHeight="false" outlineLevel="0" collapsed="false">
      <c r="B13" s="16" t="s">
        <v>69</v>
      </c>
      <c r="C13" s="16" t="s">
        <v>66</v>
      </c>
      <c r="D13" s="22" t="n">
        <v>200000</v>
      </c>
      <c r="E13" s="24" t="n">
        <v>0.05</v>
      </c>
      <c r="F13" s="25" t="n">
        <f aca="false">IF(B13&lt;&gt;"",IF(C13="YES",C$5*E13,0),0)</f>
        <v>0</v>
      </c>
      <c r="G13" s="22" t="n">
        <v>60</v>
      </c>
      <c r="H13" s="16"/>
    </row>
    <row r="14" customFormat="false" ht="15" hidden="false" customHeight="false" outlineLevel="0" collapsed="false">
      <c r="B14" s="16" t="s">
        <v>70</v>
      </c>
      <c r="C14" s="16" t="s">
        <v>66</v>
      </c>
      <c r="D14" s="22" t="n">
        <v>60000</v>
      </c>
      <c r="E14" s="24" t="n">
        <v>0.02</v>
      </c>
      <c r="F14" s="25" t="n">
        <f aca="false">IF(B14&lt;&gt;"",IF(C14="YES",C$5*E14,0),0)</f>
        <v>0</v>
      </c>
      <c r="G14" s="22" t="n">
        <v>30</v>
      </c>
      <c r="H14" s="16"/>
    </row>
    <row r="15" customFormat="false" ht="15" hidden="false" customHeight="false" outlineLevel="0" collapsed="false">
      <c r="B15" s="16" t="s">
        <v>71</v>
      </c>
      <c r="C15" s="16" t="s">
        <v>66</v>
      </c>
      <c r="D15" s="22" t="n">
        <v>100000</v>
      </c>
      <c r="E15" s="24" t="n">
        <v>0.03</v>
      </c>
      <c r="F15" s="25" t="n">
        <f aca="false">IF(B15&lt;&gt;"",IF(C15="YES",C$5*E15,0),0)</f>
        <v>0</v>
      </c>
      <c r="G15" s="22" t="n">
        <v>45</v>
      </c>
      <c r="H15" s="16"/>
    </row>
    <row r="16" customFormat="false" ht="15" hidden="false" customHeight="false" outlineLevel="0" collapsed="false">
      <c r="B16" s="16"/>
      <c r="C16" s="16" t="s">
        <v>66</v>
      </c>
      <c r="D16" s="22"/>
      <c r="E16" s="24" t="n">
        <v>0</v>
      </c>
      <c r="F16" s="25" t="n">
        <f aca="false">IF(B16&lt;&gt;"",IF(C16="YES",C$5*E16,0),0)</f>
        <v>0</v>
      </c>
      <c r="G16" s="22"/>
      <c r="H16" s="16"/>
    </row>
    <row r="17" customFormat="false" ht="15" hidden="false" customHeight="false" outlineLevel="0" collapsed="false">
      <c r="B17" s="16"/>
      <c r="C17" s="16" t="s">
        <v>66</v>
      </c>
      <c r="D17" s="22"/>
      <c r="E17" s="24" t="n">
        <v>0</v>
      </c>
      <c r="F17" s="25" t="n">
        <f aca="false">IF(B17&lt;&gt;"",IF(C17="YES",C$5*E17,0),0)</f>
        <v>0</v>
      </c>
      <c r="G17" s="22"/>
      <c r="H17" s="16"/>
    </row>
    <row r="19" customFormat="false" ht="15" hidden="false" customHeight="false" outlineLevel="0" collapsed="false">
      <c r="B19" s="10" t="s">
        <v>72</v>
      </c>
      <c r="C19" s="10"/>
      <c r="D19" s="10"/>
      <c r="E19" s="10"/>
      <c r="F19" s="10"/>
      <c r="G19" s="10"/>
      <c r="H19" s="10"/>
    </row>
    <row r="20" customFormat="false" ht="15" hidden="false" customHeight="false" outlineLevel="0" collapsed="false">
      <c r="B20" s="14" t="s">
        <v>73</v>
      </c>
      <c r="F20" s="25" t="n">
        <f aca="false">SUMIF(C8:C17,"YES",D8:D17)</f>
        <v>510000</v>
      </c>
    </row>
    <row r="21" customFormat="false" ht="15" hidden="false" customHeight="false" outlineLevel="0" collapsed="false">
      <c r="B21" s="14" t="s">
        <v>74</v>
      </c>
      <c r="F21" s="25" t="n">
        <f aca="false">SUM(F8:F17)</f>
        <v>6500000</v>
      </c>
    </row>
    <row r="22" customFormat="false" ht="15" hidden="false" customHeight="false" outlineLevel="0" collapsed="false">
      <c r="B22" s="14" t="s">
        <v>75</v>
      </c>
      <c r="F22" s="25" t="n">
        <f aca="false">F21-D20</f>
        <v>6500000</v>
      </c>
    </row>
    <row r="23" customFormat="false" ht="15" hidden="false" customHeight="false" outlineLevel="0" collapsed="false">
      <c r="B23" s="14" t="s">
        <v>76</v>
      </c>
      <c r="F23" s="25" t="n">
        <f aca="false">C5*0.12</f>
        <v>6000000</v>
      </c>
    </row>
  </sheetData>
  <mergeCells count="2">
    <mergeCell ref="B2:H2"/>
    <mergeCell ref="B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2026-06-12T11:49:37Z</dcterms:created>
  <dc:creator>openpyxl</dc:creator>
  <dc:description/>
  <dc:language>en-US</dc:language>
  <cp:lastModifiedBy/>
  <dcterms:modified xsi:type="dcterms:W3CDTF">2026-06-12T11:49:38Z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