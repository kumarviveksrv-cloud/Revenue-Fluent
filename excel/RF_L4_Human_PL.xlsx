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uman Pn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<sst xmlns="http://schemas.openxmlformats.org/spreadsheetml/2006/main" count="67" uniqueCount="67">
  <si>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REVENUE FLUENT</t>
  </si>
  <si>
    <t xml:space="preserve">L4: The Human P&amp;L</t>
  </si>
  <si>
    <t xml:space="preserve">HR has always had a P&amp;L. Nobody taught them to read it.</t>
  </si>
  <si>
    <t xml:space="preserve">COLOUR GUIDE</t>
  </si>
  <si>
    <t xml:space="preserve">Blue text = Input cells (enter your org data here)</t>
  </si>
  <si>
    <t xml:space="preserve">Black text = Formula cells (auto-calculate, do not edit)</t>
  </si>
  <si>
    <t xml:space="preserve">Purple background = Total / summary rows</t>
  </si>
  <si>
    <t xml:space="preserve">HOW TO USE</t>
  </si>
  <si>
    <t xml:space="preserve">1. Go to the 'Human PnL' sheet</t>
  </si>
  <si>
    <t xml:space="preserve">2. Enter your inputs in the ASSUMPTIONS block (blue cells)</t>
  </si>
  <si>
    <t xml:space="preserve">3. Fill in HUMAN REVENUE lines, then COGS, then OPEX</t>
  </si>
  <si>
    <t xml:space="preserve">4. The ADJUSTMENTS section captures below-the-line risks</t>
  </si>
  <si>
    <t xml:space="preserve">5. Human Net Profit / Loss and The Ratio auto-calculate at the bottom</t>
  </si>
  <si>
    <t xml:space="preserve">6. This document is board-ready — print or export as PDF for CEO meetings</t>
  </si>
  <si>
    <t xml:space="preserve">Built on Humacity  ·  humacity.com</t>
  </si>
  <si>
    <t xml:space="preserve">THE HUMAN P&amp;L</t>
  </si>
  <si>
    <t xml:space="preserve">Revenue Fluent  ·  humacity.com</t>
  </si>
  <si>
    <t xml:space="preserve">ASSUMPTIONS</t>
  </si>
  <si>
    <t xml:space="preserve">INPUT</t>
  </si>
  <si>
    <t xml:space="preserve">YOUR VALUE</t>
  </si>
  <si>
    <t xml:space="preserve">NOTES</t>
  </si>
  <si>
    <t xml:space="preserve">Organisation / Entity name</t>
  </si>
  <si>
    <t xml:space="preserve">My Organisation</t>
  </si>
  <si>
    <t xml:space="preserve">Currency symbol</t>
  </si>
  <si>
    <t xml:space="preserve">₹</t>
  </si>
  <si>
    <t xml:space="preserve">Period</t>
  </si>
  <si>
    <t xml:space="preserve">FY2026</t>
  </si>
  <si>
    <t xml:space="preserve">Total headcount</t>
  </si>
  <si>
    <t xml:space="preserve">Total annual compensation base</t>
  </si>
  <si>
    <t xml:space="preserve">HUMAN REVENUE</t>
  </si>
  <si>
    <t xml:space="preserve">  Talent Acquisition Value</t>
  </si>
  <si>
    <t xml:space="preserve">Revenue-generating hires x productive output</t>
  </si>
  <si>
    <t xml:space="preserve">  Retention Savings</t>
  </si>
  <si>
    <t xml:space="preserve">Replacement costs avoided x retention saves</t>
  </si>
  <si>
    <t xml:space="preserve">  Performance Uplift</t>
  </si>
  <si>
    <t xml:space="preserve">Productivity gains from development investments</t>
  </si>
  <si>
    <t xml:space="preserve">  Culture Premium</t>
  </si>
  <si>
    <t xml:space="preserve">Engagement-driven productivity above baseline</t>
  </si>
  <si>
    <t xml:space="preserve">TOTAL HUMAN REVENUE</t>
  </si>
  <si>
    <t xml:space="preserve">HUMAN COST OF GOODS (COGS)</t>
  </si>
  <si>
    <t xml:space="preserve">  Total Compensation Cost</t>
  </si>
  <si>
    <t xml:space="preserve">Salaries, benefits, bonuses</t>
  </si>
  <si>
    <t xml:space="preserve">  Acquisition Cost</t>
  </si>
  <si>
    <t xml:space="preserve">Hiring spend, agency fees, onboarding</t>
  </si>
  <si>
    <t xml:space="preserve">  Development Investment</t>
  </si>
  <si>
    <t xml:space="preserve">Training, coaching, certifications</t>
  </si>
  <si>
    <t xml:space="preserve">TOTAL HUMAN COGS</t>
  </si>
  <si>
    <t xml:space="preserve">HUMAN GROSS MARGIN</t>
  </si>
  <si>
    <t xml:space="preserve">HUMAN OPERATING EXPENSES (OpEx)</t>
  </si>
  <si>
    <t xml:space="preserve">  HR Function Cost</t>
  </si>
  <si>
    <t xml:space="preserve">HR team salaries, tools, systems</t>
  </si>
  <si>
    <t xml:space="preserve">  Compliance &amp; Administration</t>
  </si>
  <si>
    <t xml:space="preserve">Legal, payroll, HR ops</t>
  </si>
  <si>
    <t xml:space="preserve">  Culture &amp; Engagement Spend</t>
  </si>
  <si>
    <t xml:space="preserve">Events, wellbeing, recognition</t>
  </si>
  <si>
    <t xml:space="preserve">TOTAL HUMAN OPEX</t>
  </si>
  <si>
    <t xml:space="preserve">HUMAN OPERATING PROFIT</t>
  </si>
  <si>
    <t xml:space="preserve">HUMAN ADJUSTMENTS (below the line)</t>
  </si>
  <si>
    <t xml:space="preserve">  Flight Risk Liability</t>
  </si>
  <si>
    <t xml:space="preserve">Value at risk of departure</t>
  </si>
  <si>
    <t xml:space="preserve">  Skill Debt Provision</t>
  </si>
  <si>
    <t xml:space="preserve">Cost of skills gap if unaddressed</t>
  </si>
  <si>
    <t xml:space="preserve">  Growth Readiness Gap</t>
  </si>
  <si>
    <t xml:space="preserve">Cost of unpreparedness for next stage</t>
  </si>
  <si>
    <t xml:space="preserve">TOTAL HUMAN ADJUSTMENTS</t>
  </si>
  <si>
    <t xml:space="preserve">HUMAN NET PROFIT / LOSS</t>
  </si>
  <si>
    <t xml:space="preserve">THE RATIO  —  For every 1 unit invested in HR, this organisation returns: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</si>
</sst>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409A"/>
      <name val="Arial"/>
      <family val="0"/>
      <charset val="1"/>
    </font>
    <font>
      <b val="true"/>
      <sz val="18"/>
      <color rgb="FFE0B830"/>
      <name val="Arial"/>
      <family val="0"/>
      <charset val="1"/>
    </font>
    <font>
      <i val="true"/>
      <sz val="11"/>
      <color rgb="FF4A3060"/>
      <name val="Arial"/>
      <family val="0"/>
      <charset val="1"/>
    </font>
    <font>
      <b val="true"/>
      <sz val="10"/>
      <color rgb="FFC0409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1020"/>
      <name val="Arial"/>
      <family val="0"/>
      <charset val="1"/>
    </font>
    <font>
      <sz val="10"/>
      <color rgb="FF4A3060"/>
      <name val="Arial"/>
      <family val="0"/>
      <charset val="1"/>
    </font>
    <font>
      <i val="true"/>
      <sz val="9"/>
      <color rgb="FFC0409A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A3060"/>
      <name val="Arial"/>
      <family val="0"/>
      <charset val="1"/>
    </font>
    <font>
      <b val="true"/>
      <sz val="10"/>
      <color rgb="FF1A1020"/>
      <name val="Arial"/>
      <family val="0"/>
      <charset val="1"/>
    </font>
    <font>
      <b val="true"/>
      <sz val="10"/>
      <color rgb="FFE0B830"/>
      <name val="Arial"/>
      <family val="0"/>
      <charset val="1"/>
    </font>
    <font>
      <b val="true"/>
      <sz val="13"/>
      <color rgb="FFE0B830"/>
      <name val="Arial"/>
      <family val="0"/>
      <charset val="1"/>
    </font>
    <font>
      <b val="true"/>
      <sz val="16"/>
      <color rgb="FFE0B8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F0E8FF"/>
        <bgColor rgb="FFFFF9E6"/>
      </patternFill>
    </fill>
    <fill>
      <patternFill patternType="solid">
        <fgColor rgb="FF1A1020"/>
        <bgColor rgb="FF2A1535"/>
      </patternFill>
    </fill>
    <fill>
      <patternFill patternType="solid">
        <fgColor rgb="FF2A1535"/>
        <bgColor rgb="FF1A10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0409A"/>
      </bottom>
      <diagonal/>
    </border>
    <border diagonalUp="false" diagonalDown="false">
      <left style="thin">
        <color rgb="FFD0B0E0"/>
      </left>
      <right style="thin">
        <color rgb="FFD0B0E0"/>
      </right>
      <top style="thin">
        <color rgb="FFD0B0E0"/>
      </top>
      <bottom style="thin">
        <color rgb="FFD0B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B0E0"/>
      <rgbColor rgb="FF808080"/>
      <rgbColor rgb="FF9999FF"/>
      <rgbColor rgb="FFC0409A"/>
      <rgbColor rgb="FFFFF9E6"/>
      <rgbColor rgb="FFF0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03366"/>
      <rgbColor rgb="FF339966"/>
      <rgbColor rgb="FF1A1020"/>
      <rgbColor rgb="FF2A1535"/>
      <rgbColor rgb="FF993300"/>
      <rgbColor rgb="FF993366"/>
      <rgbColor rgb="FF333399"/>
      <rgbColor rgb="FF4A30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0"/>
    <col collapsed="false" customWidth="true" hidden="false" outlineLevel="0" max="3" min="3" style="1" width="20"/>
  </cols>
  <sheetData>
    <row r="2" customFormat="false" ht="17.25" hidden="false" customHeight="true" outlineLevel="0" collapsed="false">
      <c r="B2" s="2" t="s">
        <v>0</v>
      </c>
    </row>
    <row r="3" customFormat="false" ht="21.7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</row>
    <row r="8" customFormat="false" ht="15" hidden="false" customHeight="true" outlineLevel="0" collapsed="false">
      <c r="B8" s="7" t="s">
        <v>5</v>
      </c>
    </row>
    <row r="9" customFormat="false" ht="15" hidden="false" customHeight="true" outlineLevel="0" collapsed="false">
      <c r="B9" s="8" t="s">
        <v>6</v>
      </c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9" t="s">
        <v>8</v>
      </c>
    </row>
    <row r="13" customFormat="false" ht="15" hidden="false" customHeight="true" outlineLevel="0" collapsed="false">
      <c r="B13" s="9" t="s">
        <v>9</v>
      </c>
    </row>
    <row r="14" customFormat="false" ht="15" hidden="false" customHeight="true" outlineLevel="0" collapsed="false">
      <c r="B14" s="9" t="s">
        <v>10</v>
      </c>
    </row>
    <row r="15" customFormat="false" ht="15" hidden="false" customHeight="true" outlineLevel="0" collapsed="false">
      <c r="B15" s="9" t="s">
        <v>11</v>
      </c>
    </row>
    <row r="16" customFormat="false" ht="15" hidden="false" customHeight="true" outlineLevel="0" collapsed="false">
      <c r="B16" s="9" t="s">
        <v>12</v>
      </c>
    </row>
    <row r="17" customFormat="false" ht="23.25" hidden="false" customHeight="true" outlineLevel="0" collapsed="false">
      <c r="B17" s="9" t="s">
        <v>13</v>
      </c>
    </row>
    <row r="20" customFormat="false" ht="15" hidden="false" customHeight="true" outlineLevel="0" collapsed="false">
      <c r="B20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20"/>
  </cols>
  <sheetData>
    <row r="2" customFormat="false" ht="15" hidden="false" customHeight="true" outlineLevel="0" collapsed="false">
      <c r="B2" s="11" t="s">
        <v>15</v>
      </c>
      <c r="C2" s="11"/>
      <c r="D2" s="11"/>
    </row>
    <row r="3" customFormat="false" ht="15" hidden="false" customHeight="true" outlineLevel="0" collapsed="false">
      <c r="B3" s="10" t="s">
        <v>16</v>
      </c>
    </row>
    <row r="5" customFormat="false" ht="15" hidden="false" customHeight="true" outlineLevel="0" collapsed="false">
      <c r="B5" s="11" t="s">
        <v>17</v>
      </c>
      <c r="C5" s="11"/>
      <c r="D5" s="11"/>
    </row>
    <row r="6" customFormat="false" ht="15" hidden="false" customHeight="true" outlineLevel="0" collapsed="false">
      <c r="B6" s="12" t="s">
        <v>18</v>
      </c>
      <c r="C6" s="12" t="s">
        <v>19</v>
      </c>
      <c r="D6" s="12" t="s">
        <v>20</v>
      </c>
    </row>
    <row r="7" customFormat="false" ht="15" hidden="false" customHeight="true" outlineLevel="0" collapsed="false">
      <c r="B7" s="13" t="s">
        <v>21</v>
      </c>
      <c r="C7" s="14" t="s">
        <v>22</v>
      </c>
    </row>
    <row r="8" customFormat="false" ht="15" hidden="false" customHeight="true" outlineLevel="0" collapsed="false">
      <c r="B8" s="13" t="s">
        <v>23</v>
      </c>
      <c r="C8" s="14" t="s">
        <v>24</v>
      </c>
    </row>
    <row r="9" customFormat="false" ht="15" hidden="false" customHeight="true" outlineLevel="0" collapsed="false">
      <c r="B9" s="13" t="s">
        <v>25</v>
      </c>
      <c r="C9" s="14" t="s">
        <v>26</v>
      </c>
    </row>
    <row r="10" customFormat="false" ht="15" hidden="false" customHeight="true" outlineLevel="0" collapsed="false">
      <c r="B10" s="13" t="s">
        <v>27</v>
      </c>
      <c r="C10" s="15" t="n">
        <v>100</v>
      </c>
    </row>
    <row r="11" customFormat="false" ht="15" hidden="false" customHeight="true" outlineLevel="0" collapsed="false">
      <c r="B11" s="13" t="s">
        <v>28</v>
      </c>
      <c r="C11" s="15" t="n">
        <v>50000000</v>
      </c>
    </row>
    <row r="13" customFormat="false" ht="15" hidden="false" customHeight="true" outlineLevel="0" collapsed="false">
      <c r="B13" s="11" t="s">
        <v>29</v>
      </c>
      <c r="C13" s="11"/>
      <c r="D13" s="11"/>
    </row>
    <row r="14" customFormat="false" ht="15" hidden="false" customHeight="true" outlineLevel="0" collapsed="false">
      <c r="B14" s="13" t="s">
        <v>30</v>
      </c>
      <c r="C14" s="15" t="n">
        <v>4200000</v>
      </c>
      <c r="D14" s="16" t="s">
        <v>31</v>
      </c>
    </row>
    <row r="15" customFormat="false" ht="15" hidden="false" customHeight="true" outlineLevel="0" collapsed="false">
      <c r="B15" s="13" t="s">
        <v>32</v>
      </c>
      <c r="C15" s="15" t="n">
        <v>1400000</v>
      </c>
      <c r="D15" s="16" t="s">
        <v>33</v>
      </c>
    </row>
    <row r="16" customFormat="false" ht="15" hidden="false" customHeight="true" outlineLevel="0" collapsed="false">
      <c r="B16" s="13" t="s">
        <v>34</v>
      </c>
      <c r="C16" s="15" t="n">
        <v>840000</v>
      </c>
      <c r="D16" s="16" t="s">
        <v>35</v>
      </c>
    </row>
    <row r="17" customFormat="false" ht="15" hidden="false" customHeight="true" outlineLevel="0" collapsed="false">
      <c r="B17" s="13" t="s">
        <v>36</v>
      </c>
      <c r="C17" s="15" t="n">
        <v>380000</v>
      </c>
      <c r="D17" s="16" t="s">
        <v>37</v>
      </c>
    </row>
    <row r="18" customFormat="false" ht="15" hidden="false" customHeight="true" outlineLevel="0" collapsed="false">
      <c r="B18" s="17" t="s">
        <v>38</v>
      </c>
      <c r="C18" s="18" t="n">
        <f aca="false">SUM(C14:C17)</f>
        <v>6820000</v>
      </c>
    </row>
    <row r="20" customFormat="false" ht="15" hidden="false" customHeight="true" outlineLevel="0" collapsed="false">
      <c r="B20" s="11" t="s">
        <v>39</v>
      </c>
      <c r="C20" s="11"/>
      <c r="D20" s="11"/>
    </row>
    <row r="21" customFormat="false" ht="15" hidden="false" customHeight="true" outlineLevel="0" collapsed="false">
      <c r="B21" s="13" t="s">
        <v>40</v>
      </c>
      <c r="C21" s="15" t="n">
        <v>50000000</v>
      </c>
      <c r="D21" s="16" t="s">
        <v>41</v>
      </c>
    </row>
    <row r="22" customFormat="false" ht="15" hidden="false" customHeight="true" outlineLevel="0" collapsed="false">
      <c r="B22" s="13" t="s">
        <v>42</v>
      </c>
      <c r="C22" s="15" t="n">
        <v>1200000</v>
      </c>
      <c r="D22" s="16" t="s">
        <v>43</v>
      </c>
    </row>
    <row r="23" customFormat="false" ht="15" hidden="false" customHeight="true" outlineLevel="0" collapsed="false">
      <c r="B23" s="13" t="s">
        <v>44</v>
      </c>
      <c r="C23" s="15" t="n">
        <v>460000</v>
      </c>
      <c r="D23" s="16" t="s">
        <v>45</v>
      </c>
    </row>
    <row r="24" customFormat="false" ht="15" hidden="false" customHeight="true" outlineLevel="0" collapsed="false">
      <c r="B24" s="17" t="s">
        <v>46</v>
      </c>
      <c r="C24" s="18" t="n">
        <f aca="false">SUM(C21:C23)</f>
        <v>51660000</v>
      </c>
    </row>
    <row r="26" customFormat="false" ht="19.5" hidden="false" customHeight="true" outlineLevel="0" collapsed="false">
      <c r="B26" s="19" t="s">
        <v>47</v>
      </c>
      <c r="C26" s="20" t="n">
        <f aca="false">C18-C24</f>
        <v>-44840000</v>
      </c>
      <c r="D26" s="21" t="n">
        <f aca="false">IF(C18&lt;&gt;0,C26/C18,0)</f>
        <v>-6.57478005865103</v>
      </c>
    </row>
    <row r="28" customFormat="false" ht="15" hidden="false" customHeight="true" outlineLevel="0" collapsed="false">
      <c r="B28" s="11" t="s">
        <v>48</v>
      </c>
      <c r="C28" s="11"/>
      <c r="D28" s="11"/>
    </row>
    <row r="29" customFormat="false" ht="15" hidden="false" customHeight="true" outlineLevel="0" collapsed="false">
      <c r="B29" s="13" t="s">
        <v>49</v>
      </c>
      <c r="C29" s="15" t="n">
        <v>2800000</v>
      </c>
      <c r="D29" s="16" t="s">
        <v>50</v>
      </c>
    </row>
    <row r="30" customFormat="false" ht="15" hidden="false" customHeight="true" outlineLevel="0" collapsed="false">
      <c r="B30" s="13" t="s">
        <v>51</v>
      </c>
      <c r="C30" s="15" t="n">
        <v>400000</v>
      </c>
      <c r="D30" s="16" t="s">
        <v>52</v>
      </c>
    </row>
    <row r="31" customFormat="false" ht="15" hidden="false" customHeight="true" outlineLevel="0" collapsed="false">
      <c r="B31" s="13" t="s">
        <v>53</v>
      </c>
      <c r="C31" s="15" t="n">
        <v>180000</v>
      </c>
      <c r="D31" s="16" t="s">
        <v>54</v>
      </c>
    </row>
    <row r="32" customFormat="false" ht="15" hidden="false" customHeight="true" outlineLevel="0" collapsed="false">
      <c r="B32" s="17" t="s">
        <v>55</v>
      </c>
      <c r="C32" s="18" t="n">
        <f aca="false">SUM(C29:C31)</f>
        <v>3380000</v>
      </c>
    </row>
    <row r="34" customFormat="false" ht="19.5" hidden="false" customHeight="true" outlineLevel="0" collapsed="false">
      <c r="B34" s="19" t="s">
        <v>56</v>
      </c>
      <c r="C34" s="20" t="n">
        <f aca="false">C26-C32</f>
        <v>-48220000</v>
      </c>
    </row>
    <row r="36" customFormat="false" ht="15" hidden="false" customHeight="true" outlineLevel="0" collapsed="false">
      <c r="B36" s="11" t="s">
        <v>57</v>
      </c>
      <c r="C36" s="11"/>
      <c r="D36" s="11"/>
    </row>
    <row r="37" customFormat="false" ht="15" hidden="false" customHeight="true" outlineLevel="0" collapsed="false">
      <c r="B37" s="13" t="s">
        <v>58</v>
      </c>
      <c r="C37" s="15" t="n">
        <v>890000</v>
      </c>
      <c r="D37" s="16" t="s">
        <v>59</v>
      </c>
    </row>
    <row r="38" customFormat="false" ht="15" hidden="false" customHeight="true" outlineLevel="0" collapsed="false">
      <c r="B38" s="13" t="s">
        <v>60</v>
      </c>
      <c r="C38" s="15" t="n">
        <v>340000</v>
      </c>
      <c r="D38" s="16" t="s">
        <v>61</v>
      </c>
    </row>
    <row r="39" customFormat="false" ht="15" hidden="false" customHeight="true" outlineLevel="0" collapsed="false">
      <c r="B39" s="13" t="s">
        <v>62</v>
      </c>
      <c r="C39" s="15" t="n">
        <v>520000</v>
      </c>
      <c r="D39" s="16" t="s">
        <v>63</v>
      </c>
    </row>
    <row r="40" customFormat="false" ht="15" hidden="false" customHeight="true" outlineLevel="0" collapsed="false">
      <c r="B40" s="17" t="s">
        <v>64</v>
      </c>
      <c r="C40" s="18" t="n">
        <f aca="false">SUM(C37:C39)</f>
        <v>1750000</v>
      </c>
    </row>
    <row r="42" customFormat="false" ht="24" hidden="false" customHeight="true" outlineLevel="0" collapsed="false">
      <c r="B42" s="22" t="s">
        <v>65</v>
      </c>
      <c r="C42" s="23" t="n">
        <f aca="false">C34-C40</f>
        <v>-49970000</v>
      </c>
    </row>
    <row r="44" customFormat="false" ht="27.75" hidden="false" customHeight="true" outlineLevel="0" collapsed="false">
      <c r="B44" s="24" t="s">
        <v>66</v>
      </c>
      <c r="C44" s="25" t="str">
        <f aca="false">IF(C24&lt;&gt;0,TEXT(C18/C24,"0.0")&amp;"x","—")</f>
        <v>0.1x</v>
      </c>
    </row>
  </sheetData>
  <mergeCells count="6">
    <mergeCell ref="B2:D2"/>
    <mergeCell ref="B5:D5"/>
    <mergeCell ref="B13:D13"/>
    <mergeCell ref="B20:D20"/>
    <mergeCell ref="B28:D28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2026-06-12T11:49:38Z</dcterms:created>
  <dc:creator>openpyxl</dc:creator>
  <dc:description/>
  <dc:language>en-US</dc:language>
  <cp:lastModifiedBy/>
  <dcterms:modified xsi:type="dcterms:W3CDTF">2026-06-12T11:50:13Z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