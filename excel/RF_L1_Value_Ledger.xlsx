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Value Ledg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<sst xmlns="http://schemas.openxmlformats.org/spreadsheetml/2006/main" count="58" uniqueCount="53">
  <si>
    <t xml:space="preserve">REVENUE FLUENT</t>
  </si>
  <si>
    <t xml:space="preserve">L1: The Value Ledger</t>
  </si>
  <si>
    <t xml:space="preserve">Every HR decision has a financial entry. Most organisations just never wrote it down.</t>
  </si>
  <si>
    <t xml:space="preserve">COLOUR GUIDE</t>
  </si>
  <si>
    <t xml:space="preserve">Blue text = Input cells (enter your org data here)</t>
  </si>
  <si>
    <t xml:space="preserve">Black text = Formula cells (auto-calculate, do not edit)</t>
  </si>
  <si>
    <t xml:space="preserve">Purple background = Total / summary rows</t>
  </si>
  <si>
    <t xml:space="preserve">HOW TO USE</t>
  </si>
  <si>
    <t xml:space="preserve">1. Go to the 'Value Ledger' sheet</t>
  </si>
  <si>
    <t xml:space="preserve">2. Enter your organisation details in the blue ASSUMPTIONS cells (rows 4-10)</t>
  </si>
  <si>
    <t xml:space="preserve">3. Enter each HR action in the ENTRY LOG section — category, description, cost, and return estimate</t>
  </si>
  <si>
    <t xml:space="preserve">4. The Ratio (bottom of sheet) auto-calculates from your entries</t>
  </si>
  <si>
    <t xml:space="preserve">5. The PDF report on the platform shows the same calculation with your scenario data</t>
  </si>
  <si>
    <t xml:space="preserve">Built on Humacity  ·  humacity.com</t>
  </si>
  <si>
    <t xml:space="preserve">THE VALUE LEDGER  —  HR Investment Return Model</t>
  </si>
  <si>
    <t xml:space="preserve">Revenue Fluent  ·  humacity.com</t>
  </si>
  <si>
    <t xml:space="preserve">ASSUMPTIONS</t>
  </si>
  <si>
    <t xml:space="preserve">INPUT</t>
  </si>
  <si>
    <t xml:space="preserve">YOUR VALUE</t>
  </si>
  <si>
    <t xml:space="preserve">NOTES</t>
  </si>
  <si>
    <t xml:space="preserve">Organisation name</t>
  </si>
  <si>
    <t xml:space="preserve">My Organisation</t>
  </si>
  <si>
    <t xml:space="preserve">Currency symbol</t>
  </si>
  <si>
    <t xml:space="preserve">₹</t>
  </si>
  <si>
    <t xml:space="preserve">Total annual compensation base</t>
  </si>
  <si>
    <t xml:space="preserve">Number of employees</t>
  </si>
  <si>
    <t xml:space="preserve">Average salary (auto-calc)</t>
  </si>
  <si>
    <t xml:space="preserve">Financial year</t>
  </si>
  <si>
    <t xml:space="preserve">FY2026</t>
  </si>
  <si>
    <t xml:space="preserve">ENTRY LOG  —  HR Actions &amp; Returns</t>
  </si>
  <si>
    <t xml:space="preserve">CATEGORY</t>
  </si>
  <si>
    <t xml:space="preserve">HR ACTION / DESCRIPTION</t>
  </si>
  <si>
    <t xml:space="preserve">COST INVESTED</t>
  </si>
  <si>
    <t xml:space="preserve">RETURN GENERATED</t>
  </si>
  <si>
    <t xml:space="preserve">NET RETURN</t>
  </si>
  <si>
    <t xml:space="preserve">Revenue-Generating</t>
  </si>
  <si>
    <t xml:space="preserve">Key hire — Sales Director</t>
  </si>
  <si>
    <t xml:space="preserve">Team build — New revenue line</t>
  </si>
  <si>
    <t xml:space="preserve">Cost-Saving</t>
  </si>
  <si>
    <t xml:space="preserve">Retention save — Senior Engineer</t>
  </si>
  <si>
    <t xml:space="preserve">Internal mobility — avoided external hire</t>
  </si>
  <si>
    <t xml:space="preserve">Development</t>
  </si>
  <si>
    <t xml:space="preserve">Leadership coaching programme</t>
  </si>
  <si>
    <t xml:space="preserve">Technical upskilling — 12 employees</t>
  </si>
  <si>
    <t xml:space="preserve">Culture &amp; Engagement</t>
  </si>
  <si>
    <t xml:space="preserve">Annual team offsite</t>
  </si>
  <si>
    <t xml:space="preserve">Engagement initiative — recognition programme</t>
  </si>
  <si>
    <t xml:space="preserve">SUMMARY</t>
  </si>
  <si>
    <t xml:space="preserve">Total HR Investment</t>
  </si>
  <si>
    <t xml:space="preserve">Total Return Generated</t>
  </si>
  <si>
    <t xml:space="preserve">Total Net Return</t>
  </si>
  <si>
    <t xml:space="preserve">THE RATIO</t>
  </si>
  <si>
    <t xml:space="preserve">For every 1 unit invested in HR, this org returns: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</si>
</sst>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409A"/>
      <name val="Arial"/>
      <family val="0"/>
      <charset val="1"/>
    </font>
    <font>
      <b val="true"/>
      <sz val="18"/>
      <color rgb="FFE0B830"/>
      <name val="Arial"/>
      <family val="0"/>
      <charset val="1"/>
    </font>
    <font>
      <i val="true"/>
      <sz val="11"/>
      <color rgb="FF4A3060"/>
      <name val="Arial"/>
      <family val="0"/>
      <charset val="1"/>
    </font>
    <font>
      <b val="true"/>
      <sz val="10"/>
      <color rgb="FFC0409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A1020"/>
      <name val="Arial"/>
      <family val="0"/>
      <charset val="1"/>
    </font>
    <font>
      <sz val="10"/>
      <color rgb="FF4A3060"/>
      <name val="Arial"/>
      <family val="0"/>
      <charset val="1"/>
    </font>
    <font>
      <i val="true"/>
      <sz val="9"/>
      <color rgb="FFC0409A"/>
      <name val="Arial"/>
      <family val="0"/>
      <charset val="1"/>
    </font>
    <font>
      <b val="true"/>
      <sz val="11"/>
      <color rgb="FFE0B8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020"/>
      <name val="Arial"/>
      <family val="0"/>
      <charset val="1"/>
    </font>
    <font>
      <b val="true"/>
      <sz val="13"/>
      <color rgb="FFE0B83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4"/>
      <color rgb="FFE0B83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E6"/>
        <bgColor rgb="FFFFFFFF"/>
      </patternFill>
    </fill>
    <fill>
      <patternFill patternType="solid">
        <fgColor rgb="FFFFFFFF"/>
        <bgColor rgb="FFFFF9E6"/>
      </patternFill>
    </fill>
    <fill>
      <patternFill patternType="solid">
        <fgColor rgb="FFF0E8FF"/>
        <bgColor rgb="FFFFF9E6"/>
      </patternFill>
    </fill>
    <fill>
      <patternFill patternType="solid">
        <fgColor rgb="FF1A1020"/>
        <bgColor rgb="FF2A1535"/>
      </patternFill>
    </fill>
    <fill>
      <patternFill patternType="solid">
        <fgColor rgb="FF2A1535"/>
        <bgColor rgb="FF1A102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0409A"/>
      </bottom>
      <diagonal/>
    </border>
    <border diagonalUp="false" diagonalDown="false">
      <left style="thin">
        <color rgb="FFD0B0E0"/>
      </left>
      <right style="thin">
        <color rgb="FFD0B0E0"/>
      </right>
      <top style="thin">
        <color rgb="FFD0B0E0"/>
      </top>
      <bottom style="thin">
        <color rgb="FFD0B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B0E0"/>
      <rgbColor rgb="FF808080"/>
      <rgbColor rgb="FF9999FF"/>
      <rgbColor rgb="FFC0409A"/>
      <rgbColor rgb="FFFFF9E6"/>
      <rgbColor rgb="FFF0E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0B830"/>
      <rgbColor rgb="FFFF9900"/>
      <rgbColor rgb="FFFF6600"/>
      <rgbColor rgb="FF666699"/>
      <rgbColor rgb="FF969696"/>
      <rgbColor rgb="FF003366"/>
      <rgbColor rgb="FF339966"/>
      <rgbColor rgb="FF1A1020"/>
      <rgbColor rgb="FF2A1535"/>
      <rgbColor rgb="FF993300"/>
      <rgbColor rgb="FF993366"/>
      <rgbColor rgb="FF333399"/>
      <rgbColor rgb="FF4A30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3" min="3" style="0" width="20"/>
  </cols>
  <sheetData>
    <row r="2" customFormat="false" ht="17.35" hidden="false" customHeight="false" outlineLevel="0" collapsed="false">
      <c r="B2" s="1" t="s">
        <v>0</v>
      </c>
    </row>
    <row r="3" customFormat="false" ht="22.0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6" t="s">
        <v>5</v>
      </c>
    </row>
    <row r="9" customFormat="false" ht="15" hidden="false" customHeight="false" outlineLevel="0" collapsed="false">
      <c r="B9" s="7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8" t="s">
        <v>8</v>
      </c>
    </row>
    <row r="13" customFormat="false" ht="23.85" hidden="false" customHeight="false" outlineLevel="0" collapsed="false">
      <c r="B13" s="8" t="s">
        <v>9</v>
      </c>
    </row>
    <row r="14" customFormat="false" ht="23.85" hidden="false" customHeight="false" outlineLevel="0" collapsed="false">
      <c r="B14" s="8" t="s">
        <v>10</v>
      </c>
    </row>
    <row r="15" customFormat="false" ht="15" hidden="false" customHeight="false" outlineLevel="0" collapsed="false">
      <c r="B15" s="8" t="s">
        <v>11</v>
      </c>
    </row>
    <row r="16" customFormat="false" ht="23.85" hidden="false" customHeight="false" outlineLevel="0" collapsed="false">
      <c r="B16" s="8" t="s">
        <v>12</v>
      </c>
    </row>
    <row r="19" customFormat="false" ht="15" hidden="false" customHeight="false" outlineLevel="0" collapsed="false">
      <c r="B19" s="9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2"/>
  </cols>
  <sheetData>
    <row r="2" customFormat="false" ht="15" hidden="false" customHeight="false" outlineLevel="0" collapsed="false">
      <c r="B2" s="10" t="s">
        <v>14</v>
      </c>
      <c r="C2" s="10"/>
      <c r="D2" s="10"/>
      <c r="E2" s="10"/>
      <c r="F2" s="10"/>
      <c r="G2" s="10"/>
    </row>
    <row r="3" customFormat="false" ht="15" hidden="false" customHeight="false" outlineLevel="0" collapsed="false">
      <c r="B3" s="9" t="s">
        <v>15</v>
      </c>
    </row>
    <row r="5" customFormat="false" ht="15" hidden="false" customHeight="false" outlineLevel="0" collapsed="false">
      <c r="B5" s="10" t="s">
        <v>16</v>
      </c>
      <c r="C5" s="10"/>
      <c r="D5" s="10"/>
    </row>
    <row r="6" customFormat="false" ht="15" hidden="false" customHeight="false" outlineLevel="0" collapsed="false">
      <c r="B6" s="11" t="s">
        <v>17</v>
      </c>
      <c r="C6" s="11" t="s">
        <v>18</v>
      </c>
      <c r="D6" s="11" t="s">
        <v>19</v>
      </c>
    </row>
    <row r="7" customFormat="false" ht="15" hidden="false" customHeight="false" outlineLevel="0" collapsed="false">
      <c r="B7" s="12" t="s">
        <v>20</v>
      </c>
      <c r="C7" s="13" t="s">
        <v>21</v>
      </c>
    </row>
    <row r="8" customFormat="false" ht="15" hidden="false" customHeight="false" outlineLevel="0" collapsed="false">
      <c r="B8" s="12" t="s">
        <v>22</v>
      </c>
      <c r="C8" s="13" t="s">
        <v>23</v>
      </c>
    </row>
    <row r="9" customFormat="false" ht="15" hidden="false" customHeight="false" outlineLevel="0" collapsed="false">
      <c r="B9" s="12" t="s">
        <v>24</v>
      </c>
      <c r="C9" s="14" t="n">
        <v>50000000</v>
      </c>
    </row>
    <row r="10" customFormat="false" ht="15" hidden="false" customHeight="false" outlineLevel="0" collapsed="false">
      <c r="B10" s="12" t="s">
        <v>25</v>
      </c>
      <c r="C10" s="14" t="n">
        <v>100</v>
      </c>
    </row>
    <row r="11" customFormat="false" ht="15" hidden="false" customHeight="false" outlineLevel="0" collapsed="false">
      <c r="B11" s="12" t="s">
        <v>26</v>
      </c>
      <c r="C11" s="15" t="n">
        <f aca="false">IF(C10&gt;0,C9/C10,0)</f>
        <v>500000</v>
      </c>
    </row>
    <row r="12" customFormat="false" ht="15" hidden="false" customHeight="false" outlineLevel="0" collapsed="false">
      <c r="B12" s="12" t="s">
        <v>27</v>
      </c>
      <c r="C12" s="13" t="s">
        <v>28</v>
      </c>
    </row>
    <row r="15" customFormat="false" ht="15" hidden="false" customHeight="false" outlineLevel="0" collapsed="false">
      <c r="B15" s="10" t="s">
        <v>29</v>
      </c>
      <c r="C15" s="10"/>
      <c r="D15" s="10"/>
      <c r="E15" s="10"/>
      <c r="F15" s="10"/>
      <c r="G15" s="10"/>
    </row>
    <row r="16" customFormat="false" ht="15" hidden="false" customHeight="false" outlineLevel="0" collapsed="false">
      <c r="B16" s="11" t="s">
        <v>30</v>
      </c>
      <c r="C16" s="11" t="s">
        <v>31</v>
      </c>
      <c r="D16" s="11" t="s">
        <v>32</v>
      </c>
      <c r="E16" s="11" t="s">
        <v>33</v>
      </c>
      <c r="F16" s="11" t="s">
        <v>34</v>
      </c>
      <c r="G16" s="11" t="s">
        <v>19</v>
      </c>
    </row>
    <row r="17" customFormat="false" ht="15" hidden="false" customHeight="false" outlineLevel="0" collapsed="false">
      <c r="B17" s="13" t="s">
        <v>35</v>
      </c>
      <c r="C17" s="13" t="s">
        <v>36</v>
      </c>
      <c r="D17" s="14" t="n">
        <v>800000</v>
      </c>
      <c r="E17" s="14" t="n">
        <v>4200000</v>
      </c>
      <c r="F17" s="15" t="n">
        <f aca="false">IF(E17&gt;0,E17-D17,0)</f>
        <v>3400000</v>
      </c>
      <c r="G17" s="13"/>
    </row>
    <row r="18" customFormat="false" ht="15" hidden="false" customHeight="false" outlineLevel="0" collapsed="false">
      <c r="B18" s="13" t="s">
        <v>35</v>
      </c>
      <c r="C18" s="13" t="s">
        <v>37</v>
      </c>
      <c r="D18" s="14" t="n">
        <v>1200000</v>
      </c>
      <c r="E18" s="14" t="n">
        <v>5500000</v>
      </c>
      <c r="F18" s="15" t="n">
        <f aca="false">IF(E18&gt;0,E18-D18,0)</f>
        <v>4300000</v>
      </c>
      <c r="G18" s="13"/>
    </row>
    <row r="19" customFormat="false" ht="15" hidden="false" customHeight="false" outlineLevel="0" collapsed="false">
      <c r="B19" s="13" t="s">
        <v>38</v>
      </c>
      <c r="C19" s="13" t="s">
        <v>39</v>
      </c>
      <c r="D19" s="14" t="n">
        <v>350000</v>
      </c>
      <c r="E19" s="14" t="n">
        <v>1400000</v>
      </c>
      <c r="F19" s="15" t="n">
        <f aca="false">IF(E19&gt;0,E19-D19,0)</f>
        <v>1050000</v>
      </c>
      <c r="G19" s="13"/>
    </row>
    <row r="20" customFormat="false" ht="15" hidden="false" customHeight="false" outlineLevel="0" collapsed="false">
      <c r="B20" s="13" t="s">
        <v>38</v>
      </c>
      <c r="C20" s="13" t="s">
        <v>40</v>
      </c>
      <c r="D20" s="14" t="n">
        <v>50000</v>
      </c>
      <c r="E20" s="14" t="n">
        <v>650000</v>
      </c>
      <c r="F20" s="15" t="n">
        <f aca="false">IF(E20&gt;0,E20-D20,0)</f>
        <v>600000</v>
      </c>
      <c r="G20" s="13"/>
    </row>
    <row r="21" customFormat="false" ht="15" hidden="false" customHeight="false" outlineLevel="0" collapsed="false">
      <c r="B21" s="13" t="s">
        <v>41</v>
      </c>
      <c r="C21" s="13" t="s">
        <v>42</v>
      </c>
      <c r="D21" s="14" t="n">
        <v>280000</v>
      </c>
      <c r="E21" s="14" t="n">
        <v>840000</v>
      </c>
      <c r="F21" s="15" t="n">
        <f aca="false">IF(E21&gt;0,E21-D21,0)</f>
        <v>560000</v>
      </c>
      <c r="G21" s="13"/>
    </row>
    <row r="22" customFormat="false" ht="15" hidden="false" customHeight="false" outlineLevel="0" collapsed="false">
      <c r="B22" s="13" t="s">
        <v>41</v>
      </c>
      <c r="C22" s="13" t="s">
        <v>43</v>
      </c>
      <c r="D22" s="14" t="n">
        <v>180000</v>
      </c>
      <c r="E22" s="14" t="n">
        <v>520000</v>
      </c>
      <c r="F22" s="15" t="n">
        <f aca="false">IF(E22&gt;0,E22-D22,0)</f>
        <v>340000</v>
      </c>
      <c r="G22" s="13"/>
    </row>
    <row r="23" customFormat="false" ht="15" hidden="false" customHeight="false" outlineLevel="0" collapsed="false">
      <c r="B23" s="13" t="s">
        <v>44</v>
      </c>
      <c r="C23" s="13" t="s">
        <v>45</v>
      </c>
      <c r="D23" s="14" t="n">
        <v>120000</v>
      </c>
      <c r="E23" s="14" t="n">
        <v>380000</v>
      </c>
      <c r="F23" s="15" t="n">
        <f aca="false">IF(E23&gt;0,E23-D23,0)</f>
        <v>260000</v>
      </c>
      <c r="G23" s="13"/>
    </row>
    <row r="24" customFormat="false" ht="15" hidden="false" customHeight="false" outlineLevel="0" collapsed="false">
      <c r="B24" s="13" t="s">
        <v>44</v>
      </c>
      <c r="C24" s="13" t="s">
        <v>46</v>
      </c>
      <c r="D24" s="14" t="n">
        <v>60000</v>
      </c>
      <c r="E24" s="14" t="n">
        <v>210000</v>
      </c>
      <c r="F24" s="15" t="n">
        <f aca="false">IF(E24&gt;0,E24-D24,0)</f>
        <v>150000</v>
      </c>
      <c r="G24" s="13"/>
    </row>
    <row r="25" customFormat="false" ht="15" hidden="false" customHeight="false" outlineLevel="0" collapsed="false">
      <c r="B25" s="13"/>
      <c r="C25" s="13"/>
      <c r="D25" s="14"/>
      <c r="E25" s="14"/>
      <c r="F25" s="15" t="n">
        <f aca="false">IF(E25&gt;0,E25-D25,0)</f>
        <v>0</v>
      </c>
      <c r="G25" s="13"/>
    </row>
    <row r="26" customFormat="false" ht="15" hidden="false" customHeight="false" outlineLevel="0" collapsed="false">
      <c r="B26" s="13"/>
      <c r="C26" s="13"/>
      <c r="D26" s="14"/>
      <c r="E26" s="14"/>
      <c r="F26" s="15" t="n">
        <f aca="false">IF(E26&gt;0,E26-D26,0)</f>
        <v>0</v>
      </c>
      <c r="G26" s="13"/>
    </row>
    <row r="27" customFormat="false" ht="15" hidden="false" customHeight="false" outlineLevel="0" collapsed="false">
      <c r="B27" s="13"/>
      <c r="C27" s="13"/>
      <c r="D27" s="14"/>
      <c r="E27" s="14"/>
      <c r="F27" s="15" t="n">
        <f aca="false">IF(E27&gt;0,E27-D27,0)</f>
        <v>0</v>
      </c>
      <c r="G27" s="13"/>
    </row>
    <row r="28" customFormat="false" ht="15" hidden="false" customHeight="false" outlineLevel="0" collapsed="false">
      <c r="B28" s="13"/>
      <c r="C28" s="13"/>
      <c r="D28" s="14"/>
      <c r="E28" s="14"/>
      <c r="F28" s="15" t="n">
        <f aca="false">IF(E28&gt;0,E28-D28,0)</f>
        <v>0</v>
      </c>
      <c r="G28" s="13"/>
    </row>
    <row r="30" customFormat="false" ht="15" hidden="false" customHeight="false" outlineLevel="0" collapsed="false">
      <c r="B30" s="10" t="s">
        <v>47</v>
      </c>
      <c r="C30" s="10"/>
      <c r="D30" s="10"/>
      <c r="E30" s="10"/>
      <c r="F30" s="10"/>
      <c r="G30" s="10"/>
    </row>
    <row r="31" customFormat="false" ht="15" hidden="false" customHeight="false" outlineLevel="0" collapsed="false">
      <c r="B31" s="16" t="s">
        <v>48</v>
      </c>
      <c r="C31" s="17"/>
      <c r="D31" s="18" t="n">
        <f aca="false">SUM(D17:D28)</f>
        <v>3040000</v>
      </c>
    </row>
    <row r="32" customFormat="false" ht="15" hidden="false" customHeight="false" outlineLevel="0" collapsed="false">
      <c r="B32" s="16" t="s">
        <v>49</v>
      </c>
      <c r="C32" s="17"/>
      <c r="D32" s="18" t="n">
        <f aca="false">SUM(E17:E28)</f>
        <v>13700000</v>
      </c>
    </row>
    <row r="33" customFormat="false" ht="15" hidden="false" customHeight="false" outlineLevel="0" collapsed="false">
      <c r="B33" s="16" t="s">
        <v>50</v>
      </c>
      <c r="C33" s="17"/>
      <c r="D33" s="18" t="n">
        <f aca="false">SUM(F17:F28)</f>
        <v>10660000</v>
      </c>
    </row>
    <row r="35" customFormat="false" ht="24" hidden="false" customHeight="true" outlineLevel="0" collapsed="false">
      <c r="B35" s="19" t="s">
        <v>51</v>
      </c>
      <c r="C35" s="20" t="s">
        <v>52</v>
      </c>
      <c r="D35" s="21" t="str">
        <f aca="false">IF(D31&gt;0,E31/D31,0)&amp;"x"</f>
        <v>0x</v>
      </c>
    </row>
  </sheetData>
  <mergeCells count="4">
    <mergeCell ref="B2:G2"/>
    <mergeCell ref="B5:D5"/>
    <mergeCell ref="B15:G15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2026-06-12T11:49:37Z</dcterms:created>
  <dc:creator>openpyxl</dc:creator>
  <dc:description/>
  <dc:language>en-US</dc:language>
  <cp:lastModifiedBy/>
  <dcterms:modified xsi:type="dcterms:W3CDTF">2026-06-12T11:49:37Z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