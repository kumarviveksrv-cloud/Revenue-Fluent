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ital Signs Reading" sheetId="2" state="visible" r:id="rId2"/>
    <sheet xmlns:r="http://schemas.openxmlformats.org/officeDocument/2006/relationships" name="Intervention Sim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6366F1"/>
      <sz val="14"/>
    </font>
    <font>
      <name val="Arial"/>
      <b val="1"/>
      <color rgb="00C4B5FD"/>
      <sz val="18"/>
    </font>
    <font>
      <name val="Arial"/>
      <color rgb="00475569"/>
      <sz val="11"/>
    </font>
    <font>
      <name val="Arial"/>
      <b val="1"/>
      <color rgb="006366F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D0B1E"/>
      <sz val="10"/>
    </font>
    <font>
      <name val="Arial"/>
      <color rgb="00475569"/>
      <sz val="10"/>
    </font>
    <font>
      <name val="Arial"/>
      <color rgb="006366F1"/>
      <sz val="9"/>
    </font>
    <font>
      <name val="Arial"/>
      <b val="1"/>
      <color rgb="00C4B5FD"/>
      <sz val="11"/>
    </font>
    <font>
      <name val="Arial"/>
      <color rgb="00475569"/>
      <sz val="9"/>
    </font>
    <font>
      <name val="Arial"/>
      <b val="1"/>
      <color rgb="00FFFFFF"/>
      <sz val="10"/>
    </font>
    <font>
      <name val="Arial"/>
      <color rgb="000D0B1E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4F3FF"/>
      </patternFill>
    </fill>
    <fill>
      <patternFill patternType="solid">
        <fgColor rgb="000D0B1E"/>
      </patternFill>
    </fill>
    <fill>
      <patternFill patternType="solid">
        <fgColor rgb="001A1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2" customWidth="1" min="1" max="1"/>
    <col width="80" customWidth="1" min="2" max="2"/>
  </cols>
  <sheetData>
    <row r="2">
      <c r="B2" s="1" t="inlineStr">
        <is>
          <t>REVENUE FLUENT</t>
        </is>
      </c>
    </row>
    <row r="3">
      <c r="B3" s="2" t="inlineStr">
        <is>
          <t>L3: Org Vitals</t>
        </is>
      </c>
    </row>
    <row r="4">
      <c r="B4" s="3" t="inlineStr">
        <is>
          <t>You have been calling it culture. It is actually five measurable vital signs.</t>
        </is>
      </c>
    </row>
    <row r="6">
      <c r="B6" s="4" t="inlineStr">
        <is>
          <t>COLOUR GUIDE</t>
        </is>
      </c>
    </row>
    <row r="7">
      <c r="B7" s="5" t="inlineStr">
        <is>
          <t>Blue text = Input cells</t>
        </is>
      </c>
    </row>
    <row r="8">
      <c r="B8" s="6" t="inlineStr">
        <is>
          <t>Black text = Formula cells (do not edit)</t>
        </is>
      </c>
    </row>
    <row r="9">
      <c r="B9" s="7" t="inlineStr">
        <is>
          <t>Indigo background = Total / summary rows</t>
        </is>
      </c>
    </row>
    <row r="11">
      <c r="B11" s="4" t="inlineStr">
        <is>
          <t>HOW TO USE</t>
        </is>
      </c>
    </row>
    <row r="12">
      <c r="B12" s="8" t="inlineStr">
        <is>
          <t>1. Go to 'Vital Signs Reading' — answer YES/NO for each signal</t>
        </is>
      </c>
    </row>
    <row r="13">
      <c r="B13" s="8" t="inlineStr">
        <is>
          <t>2. Go to 'Intervention Simulator' — enter cost and productivity impact</t>
        </is>
      </c>
    </row>
    <row r="14">
      <c r="B14" s="8" t="inlineStr">
        <is>
          <t>3. Financial impact and cost-of-doing-nothing auto-calculate</t>
        </is>
      </c>
    </row>
    <row r="15">
      <c r="B15" s="8" t="inlineStr">
        <is>
          <t>4. Select interventions — cost-benefit shows in real time</t>
        </is>
      </c>
    </row>
    <row r="16">
      <c r="B16" s="8" t="inlineStr">
        <is>
          <t>5. Use the board summary row to build your presentation</t>
        </is>
      </c>
    </row>
    <row r="19">
      <c r="B19" s="9" t="inlineStr">
        <is>
          <t>Built on Humacity  ·  humacity.com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0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50" customWidth="1" min="3" max="3"/>
    <col width="14" customWidth="1" min="4" max="4"/>
    <col width="18" customWidth="1" min="5" max="5"/>
    <col width="30" customWidth="1" min="6" max="6"/>
  </cols>
  <sheetData>
    <row r="2">
      <c r="B2" s="10" t="inlineStr">
        <is>
          <t>ORG VITALS  —  Five Vital Signs Reading</t>
        </is>
      </c>
    </row>
    <row r="3">
      <c r="B3" s="9" t="inlineStr">
        <is>
          <t>Revenue Fluent  ·  humacity.com</t>
        </is>
      </c>
    </row>
    <row r="4">
      <c r="B4" s="11" t="inlineStr">
        <is>
          <t>YES = Healthy  |  NO = Warning/Critical</t>
        </is>
      </c>
    </row>
    <row r="6">
      <c r="B6" s="12" t="inlineStr">
        <is>
          <t>VITAL SIGN</t>
        </is>
      </c>
      <c r="C6" s="12" t="inlineStr">
        <is>
          <t>SIGNAL / OBSERVABLE</t>
        </is>
      </c>
      <c r="D6" s="12" t="inlineStr">
        <is>
          <t>YOUR READING</t>
        </is>
      </c>
      <c r="E6" s="12" t="inlineStr">
        <is>
          <t>STATUS</t>
        </is>
      </c>
      <c r="F6" s="12" t="inlineStr">
        <is>
          <t>CAUSAL NOTE</t>
        </is>
      </c>
    </row>
    <row r="7">
      <c r="B7" s="13" t="inlineStr">
        <is>
          <t>Leadership Pulse</t>
        </is>
      </c>
    </row>
    <row r="8">
      <c r="B8" s="8" t="inlineStr">
        <is>
          <t>Leadership Pulse</t>
        </is>
      </c>
      <c r="C8" s="14" t="inlineStr">
        <is>
          <t>CEO sets clear direction and communicates it regularly</t>
        </is>
      </c>
      <c r="D8" s="5" t="inlineStr">
        <is>
          <t>YES</t>
        </is>
      </c>
      <c r="E8" s="6">
        <f>IF(D8="YES","HEALTHY",IF(D8="NO","WARNING","ENTER YES/NO"))</f>
        <v/>
      </c>
    </row>
    <row r="9">
      <c r="B9" s="8" t="inlineStr">
        <is>
          <t>Leadership Pulse</t>
        </is>
      </c>
      <c r="C9" s="14" t="inlineStr">
        <is>
          <t>Leadership decisions move at pace — no chronic bottlenecks</t>
        </is>
      </c>
      <c r="D9" s="5" t="inlineStr">
        <is>
          <t>YES</t>
        </is>
      </c>
      <c r="E9" s="6">
        <f>IF(D9="YES","HEALTHY",IF(D9="NO","WARNING","ENTER YES/NO"))</f>
        <v/>
      </c>
    </row>
    <row r="10">
      <c r="B10" s="8" t="inlineStr">
        <is>
          <t>Leadership Pulse</t>
        </is>
      </c>
      <c r="C10" s="14" t="inlineStr">
        <is>
          <t>Energy flows downward — teams feel direction, not anxiety</t>
        </is>
      </c>
      <c r="D10" s="5" t="inlineStr">
        <is>
          <t>YES</t>
        </is>
      </c>
      <c r="E10" s="6">
        <f>IF(D10="YES","HEALTHY",IF(D10="NO","WARNING","ENTER YES/NO"))</f>
        <v/>
      </c>
    </row>
    <row r="11">
      <c r="B11" s="8" t="inlineStr">
        <is>
          <t>Leadership Pulse</t>
        </is>
      </c>
      <c r="C11" s="14" t="inlineStr">
        <is>
          <t>Leaders model the behaviours they expect from others</t>
        </is>
      </c>
      <c r="D11" s="5" t="inlineStr">
        <is>
          <t>YES</t>
        </is>
      </c>
      <c r="E11" s="6">
        <f>IF(D11="YES","HEALTHY",IF(D11="NO","WARNING","ENTER YES/NO"))</f>
        <v/>
      </c>
    </row>
    <row r="12">
      <c r="B12" s="15" t="inlineStr">
        <is>
          <t>Leadership Pulse — Score</t>
        </is>
      </c>
      <c r="D12" s="7">
        <f>COUNTIF(D8:D11,"YES")&amp;"/4"</f>
        <v/>
      </c>
      <c r="E12" s="7">
        <f>IF(COUNTIF(D8:D11,"YES")=4,"HEALTHY",IF(COUNTIF(D8:D11,"YES")&gt;=2,"WARNING","CRITICAL"))</f>
        <v/>
      </c>
    </row>
    <row r="14">
      <c r="B14" s="13" t="inlineStr">
        <is>
          <t>Fear Index</t>
        </is>
      </c>
    </row>
    <row r="15">
      <c r="B15" s="8" t="inlineStr">
        <is>
          <t>Fear Index</t>
        </is>
      </c>
      <c r="C15" s="14" t="inlineStr">
        <is>
          <t>People raise problems without fear of consequence</t>
        </is>
      </c>
      <c r="D15" s="5" t="inlineStr">
        <is>
          <t>YES</t>
        </is>
      </c>
      <c r="E15" s="6">
        <f>IF(D15="YES","HEALTHY",IF(D15="NO","WARNING","ENTER YES/NO"))</f>
        <v/>
      </c>
    </row>
    <row r="16">
      <c r="B16" s="8" t="inlineStr">
        <is>
          <t>Fear Index</t>
        </is>
      </c>
      <c r="C16" s="14" t="inlineStr">
        <is>
          <t>Mistakes are treated as learning, not blame events</t>
        </is>
      </c>
      <c r="D16" s="5" t="inlineStr">
        <is>
          <t>YES</t>
        </is>
      </c>
      <c r="E16" s="6">
        <f>IF(D16="YES","HEALTHY",IF(D16="NO","WARNING","ENTER YES/NO"))</f>
        <v/>
      </c>
    </row>
    <row r="17">
      <c r="B17" s="8" t="inlineStr">
        <is>
          <t>Fear Index</t>
        </is>
      </c>
      <c r="C17" s="14" t="inlineStr">
        <is>
          <t>Knowledge is shared freely, not hoarded as protection</t>
        </is>
      </c>
      <c r="D17" s="5" t="inlineStr">
        <is>
          <t>YES</t>
        </is>
      </c>
      <c r="E17" s="6">
        <f>IF(D17="YES","HEALTHY",IF(D17="NO","WARNING","ENTER YES/NO"))</f>
        <v/>
      </c>
    </row>
    <row r="18">
      <c r="B18" s="8" t="inlineStr">
        <is>
          <t>Fear Index</t>
        </is>
      </c>
      <c r="C18" s="14" t="inlineStr">
        <is>
          <t>People challenge decisions when they believe them wrong</t>
        </is>
      </c>
      <c r="D18" s="5" t="inlineStr">
        <is>
          <t>YES</t>
        </is>
      </c>
      <c r="E18" s="6">
        <f>IF(D18="YES","HEALTHY",IF(D18="NO","WARNING","ENTER YES/NO"))</f>
        <v/>
      </c>
    </row>
    <row r="19">
      <c r="B19" s="15" t="inlineStr">
        <is>
          <t>Fear Index — Score</t>
        </is>
      </c>
      <c r="D19" s="7">
        <f>COUNTIF(D15:D18,"YES")&amp;"/4"</f>
        <v/>
      </c>
      <c r="E19" s="7">
        <f>IF(COUNTIF(D15:D18,"YES")=4,"HEALTHY",IF(COUNTIF(D15:D18,"YES")&gt;=2,"WARNING","CRITICAL"))</f>
        <v/>
      </c>
    </row>
    <row r="21">
      <c r="B21" s="13" t="inlineStr">
        <is>
          <t>Middle Layer Health</t>
        </is>
      </c>
    </row>
    <row r="22">
      <c r="B22" s="8" t="inlineStr">
        <is>
          <t>Middle Layer Health</t>
        </is>
      </c>
      <c r="C22" s="14" t="inlineStr">
        <is>
          <t>Managers hold difficult conversations with their teams</t>
        </is>
      </c>
      <c r="D22" s="5" t="inlineStr">
        <is>
          <t>YES</t>
        </is>
      </c>
      <c r="E22" s="6">
        <f>IF(D22="YES","HEALTHY",IF(D22="NO","WARNING","ENTER YES/NO"))</f>
        <v/>
      </c>
    </row>
    <row r="23">
      <c r="B23" s="8" t="inlineStr">
        <is>
          <t>Middle Layer Health</t>
        </is>
      </c>
      <c r="C23" s="14" t="inlineStr">
        <is>
          <t>Middle managers develop their people, not just direct them</t>
        </is>
      </c>
      <c r="D23" s="5" t="inlineStr">
        <is>
          <t>YES</t>
        </is>
      </c>
      <c r="E23" s="6">
        <f>IF(D23="YES","HEALTHY",IF(D23="NO","WARNING","ENTER YES/NO"))</f>
        <v/>
      </c>
    </row>
    <row r="24">
      <c r="B24" s="8" t="inlineStr">
        <is>
          <t>Middle Layer Health</t>
        </is>
      </c>
      <c r="C24" s="14" t="inlineStr">
        <is>
          <t>Strategy translates clearly from leadership to frontline</t>
        </is>
      </c>
      <c r="D24" s="5" t="inlineStr">
        <is>
          <t>YES</t>
        </is>
      </c>
      <c r="E24" s="6">
        <f>IF(D24="YES","HEALTHY",IF(D24="NO","WARNING","ENTER YES/NO"))</f>
        <v/>
      </c>
    </row>
    <row r="25">
      <c r="B25" s="8" t="inlineStr">
        <is>
          <t>Middle Layer Health</t>
        </is>
      </c>
      <c r="C25" s="14" t="inlineStr">
        <is>
          <t>Experienced people sponsor new talent, not block it</t>
        </is>
      </c>
      <c r="D25" s="5" t="inlineStr">
        <is>
          <t>YES</t>
        </is>
      </c>
      <c r="E25" s="6">
        <f>IF(D25="YES","HEALTHY",IF(D25="NO","WARNING","ENTER YES/NO"))</f>
        <v/>
      </c>
    </row>
    <row r="26">
      <c r="B26" s="15" t="inlineStr">
        <is>
          <t>Middle Layer Health — Score</t>
        </is>
      </c>
      <c r="D26" s="7">
        <f>COUNTIF(D22:D25,"YES")&amp;"/4"</f>
        <v/>
      </c>
      <c r="E26" s="7">
        <f>IF(COUNTIF(D22:D25,"YES")=4,"HEALTHY",IF(COUNTIF(D22:D25,"YES")&gt;=2,"WARNING","CRITICAL"))</f>
        <v/>
      </c>
    </row>
    <row r="28">
      <c r="B28" s="13" t="inlineStr">
        <is>
          <t>Execution Fidelity</t>
        </is>
      </c>
    </row>
    <row r="29">
      <c r="B29" s="8" t="inlineStr">
        <is>
          <t>Execution Fidelity</t>
        </is>
      </c>
      <c r="C29" s="14" t="inlineStr">
        <is>
          <t>Activity is consistently connected to measurable outcomes</t>
        </is>
      </c>
      <c r="D29" s="5" t="inlineStr">
        <is>
          <t>YES</t>
        </is>
      </c>
      <c r="E29" s="6">
        <f>IF(D29="YES","HEALTHY",IF(D29="NO","WARNING","ENTER YES/NO"))</f>
        <v/>
      </c>
    </row>
    <row r="30">
      <c r="B30" s="8" t="inlineStr">
        <is>
          <t>Execution Fidelity</t>
        </is>
      </c>
      <c r="C30" s="14" t="inlineStr">
        <is>
          <t>Meetings produce decisions, not just discussion</t>
        </is>
      </c>
      <c r="D30" s="5" t="inlineStr">
        <is>
          <t>YES</t>
        </is>
      </c>
      <c r="E30" s="6">
        <f>IF(D30="YES","HEALTHY",IF(D30="NO","WARNING","ENTER YES/NO"))</f>
        <v/>
      </c>
    </row>
    <row r="31">
      <c r="B31" s="8" t="inlineStr">
        <is>
          <t>Execution Fidelity</t>
        </is>
      </c>
      <c r="C31" s="14" t="inlineStr">
        <is>
          <t>Projects move from intent to completion at reasonable pace</t>
        </is>
      </c>
      <c r="D31" s="5" t="inlineStr">
        <is>
          <t>YES</t>
        </is>
      </c>
      <c r="E31" s="6">
        <f>IF(D31="YES","HEALTHY",IF(D31="NO","WARNING","ENTER YES/NO"))</f>
        <v/>
      </c>
    </row>
    <row r="32">
      <c r="B32" s="8" t="inlineStr">
        <is>
          <t>Execution Fidelity</t>
        </is>
      </c>
      <c r="C32" s="14" t="inlineStr">
        <is>
          <t>Metrics measure outcomes, not just inputs or effort</t>
        </is>
      </c>
      <c r="D32" s="5" t="inlineStr">
        <is>
          <t>YES</t>
        </is>
      </c>
      <c r="E32" s="6">
        <f>IF(D32="YES","HEALTHY",IF(D32="NO","WARNING","ENTER YES/NO"))</f>
        <v/>
      </c>
    </row>
    <row r="33">
      <c r="B33" s="15" t="inlineStr">
        <is>
          <t>Execution Fidelity — Score</t>
        </is>
      </c>
      <c r="D33" s="7">
        <f>COUNTIF(D29:D32,"YES")&amp;"/4"</f>
        <v/>
      </c>
      <c r="E33" s="7">
        <f>IF(COUNTIF(D29:D32,"YES")=4,"HEALTHY",IF(COUNTIF(D29:D32,"YES")&gt;=2,"WARNING","CRITICAL"))</f>
        <v/>
      </c>
    </row>
    <row r="35">
      <c r="B35" s="13" t="inlineStr">
        <is>
          <t>HR Mirror</t>
        </is>
      </c>
    </row>
    <row r="36">
      <c r="B36" s="8" t="inlineStr">
        <is>
          <t>HR Mirror</t>
        </is>
      </c>
      <c r="C36" s="14" t="inlineStr">
        <is>
          <t>HR is actively present in strategic conversations</t>
        </is>
      </c>
      <c r="D36" s="5" t="inlineStr">
        <is>
          <t>YES</t>
        </is>
      </c>
      <c r="E36" s="6">
        <f>IF(D36="YES","HEALTHY",IF(D36="NO","WARNING","ENTER YES/NO"))</f>
        <v/>
      </c>
    </row>
    <row r="37">
      <c r="B37" s="8" t="inlineStr">
        <is>
          <t>HR Mirror</t>
        </is>
      </c>
      <c r="C37" s="14" t="inlineStr">
        <is>
          <t>Exit management is handled with care and used as data</t>
        </is>
      </c>
      <c r="D37" s="5" t="inlineStr">
        <is>
          <t>YES</t>
        </is>
      </c>
      <c r="E37" s="6">
        <f>IF(D37="YES","HEALTHY",IF(D37="NO","WARNING","ENTER YES/NO"))</f>
        <v/>
      </c>
    </row>
    <row r="38">
      <c r="B38" s="8" t="inlineStr">
        <is>
          <t>HR Mirror</t>
        </is>
      </c>
      <c r="C38" s="14" t="inlineStr">
        <is>
          <t>Onboarding is structured and sets people up to succeed</t>
        </is>
      </c>
      <c r="D38" s="5" t="inlineStr">
        <is>
          <t>YES</t>
        </is>
      </c>
      <c r="E38" s="6">
        <f>IF(D38="YES","HEALTHY",IF(D38="NO","WARNING","ENTER YES/NO"))</f>
        <v/>
      </c>
    </row>
    <row r="39">
      <c r="B39" s="8" t="inlineStr">
        <is>
          <t>HR Mirror</t>
        </is>
      </c>
      <c r="C39" s="14" t="inlineStr">
        <is>
          <t>HR measures its own effectiveness, not just activity</t>
        </is>
      </c>
      <c r="D39" s="5" t="inlineStr">
        <is>
          <t>YES</t>
        </is>
      </c>
      <c r="E39" s="6">
        <f>IF(D39="YES","HEALTHY",IF(D39="NO","WARNING","ENTER YES/NO"))</f>
        <v/>
      </c>
    </row>
    <row r="40">
      <c r="B40" s="15" t="inlineStr">
        <is>
          <t>HR Mirror — Score</t>
        </is>
      </c>
      <c r="D40" s="7">
        <f>COUNTIF(D36:D39,"YES")&amp;"/4"</f>
        <v/>
      </c>
      <c r="E40" s="7">
        <f>IF(COUNTIF(D36:D39,"YES")=4,"HEALTHY",IF(COUNTIF(D36:D39,"YES")&gt;=2,"WARNING","CRITICAL"))</f>
        <v/>
      </c>
    </row>
  </sheetData>
  <mergeCells count="11">
    <mergeCell ref="B21:F21"/>
    <mergeCell ref="B7:F7"/>
    <mergeCell ref="B40:C40"/>
    <mergeCell ref="B26:C26"/>
    <mergeCell ref="B2:F2"/>
    <mergeCell ref="B33:C33"/>
    <mergeCell ref="B19:C19"/>
    <mergeCell ref="B28:F28"/>
    <mergeCell ref="B35:F35"/>
    <mergeCell ref="B14:F14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3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22" customWidth="1" min="8" max="8"/>
  </cols>
  <sheetData>
    <row r="2">
      <c r="B2" s="10" t="inlineStr">
        <is>
          <t>ORG VITALS  —  Intervention Simulator</t>
        </is>
      </c>
    </row>
    <row r="3">
      <c r="B3" s="11" t="inlineStr">
        <is>
          <t>Select interventions. Financial impact auto-calculates.</t>
        </is>
      </c>
    </row>
    <row r="5">
      <c r="B5" s="8" t="inlineStr">
        <is>
          <t>Annual compensation base</t>
        </is>
      </c>
      <c r="C5" s="5" t="n">
        <v>50000000</v>
      </c>
    </row>
    <row r="7">
      <c r="B7" s="12" t="inlineStr">
        <is>
          <t>INTERVENTION</t>
        </is>
      </c>
      <c r="C7" s="12" t="inlineStr">
        <is>
          <t>IMPLEMENT? (YES/NO)</t>
        </is>
      </c>
      <c r="D7" s="12" t="inlineStr">
        <is>
          <t>COST</t>
        </is>
      </c>
      <c r="E7" s="12" t="inlineStr">
        <is>
          <t>PRODUCTIVITY RECOVERY %</t>
        </is>
      </c>
      <c r="F7" s="12" t="inlineStr">
        <is>
          <t>RECOVERY VALUE</t>
        </is>
      </c>
      <c r="G7" s="12" t="inlineStr">
        <is>
          <t>TIMEFRAME (DAYS)</t>
        </is>
      </c>
      <c r="H7" s="12" t="inlineStr">
        <is>
          <t>NOTES</t>
        </is>
      </c>
    </row>
    <row r="8">
      <c r="B8" s="5" t="inlineStr">
        <is>
          <t>Structured monthly all-hands with open Q&amp;A</t>
        </is>
      </c>
      <c r="C8" s="5" t="inlineStr">
        <is>
          <t>YES</t>
        </is>
      </c>
      <c r="D8" s="5" t="n">
        <v>150000</v>
      </c>
      <c r="E8" s="5" t="n">
        <v>0.04</v>
      </c>
      <c r="F8" s="6">
        <f>IF(B8&lt;&gt;"",IF(C8="YES",C$5*E8,0),0)</f>
        <v/>
      </c>
      <c r="G8" s="5" t="n">
        <v>90</v>
      </c>
    </row>
    <row r="9">
      <c r="B9" s="5" t="inlineStr">
        <is>
          <t>Manager effectiveness training programme</t>
        </is>
      </c>
      <c r="C9" s="5" t="inlineStr">
        <is>
          <t>YES</t>
        </is>
      </c>
      <c r="D9" s="5" t="n">
        <v>280000</v>
      </c>
      <c r="E9" s="5" t="n">
        <v>0.06</v>
      </c>
      <c r="F9" s="6">
        <f>IF(B9&lt;&gt;"",IF(C9="YES",C$5*E9,0),0)</f>
        <v/>
      </c>
      <c r="G9" s="5" t="n">
        <v>120</v>
      </c>
    </row>
    <row r="10">
      <c r="B10" s="5" t="inlineStr">
        <is>
          <t>Psychological safety workshop series</t>
        </is>
      </c>
      <c r="C10" s="5" t="inlineStr">
        <is>
          <t>NO</t>
        </is>
      </c>
      <c r="D10" s="5" t="n">
        <v>180000</v>
      </c>
      <c r="E10" s="5" t="n">
        <v>0.05</v>
      </c>
      <c r="F10" s="6">
        <f>IF(B10&lt;&gt;"",IF(C10="YES",C$5*E10,0),0)</f>
        <v/>
      </c>
      <c r="G10" s="5" t="n">
        <v>90</v>
      </c>
    </row>
    <row r="11">
      <c r="B11" s="5" t="inlineStr">
        <is>
          <t>Skip-level listening sessions (quarterly)</t>
        </is>
      </c>
      <c r="C11" s="5" t="inlineStr">
        <is>
          <t>YES</t>
        </is>
      </c>
      <c r="D11" s="5" t="n">
        <v>80000</v>
      </c>
      <c r="E11" s="5" t="n">
        <v>0.03</v>
      </c>
      <c r="F11" s="6">
        <f>IF(B11&lt;&gt;"",IF(C11="YES",C$5*E11,0),0)</f>
        <v/>
      </c>
      <c r="G11" s="5" t="n">
        <v>60</v>
      </c>
    </row>
    <row r="12">
      <c r="B12" s="5" t="inlineStr">
        <is>
          <t>Knowledge documentation sprint</t>
        </is>
      </c>
      <c r="C12" s="5" t="inlineStr">
        <is>
          <t>NO</t>
        </is>
      </c>
      <c r="D12" s="5" t="n">
        <v>120000</v>
      </c>
      <c r="E12" s="5" t="n">
        <v>0.04</v>
      </c>
      <c r="F12" s="6">
        <f>IF(B12&lt;&gt;"",IF(C12="YES",C$5*E12,0),0)</f>
        <v/>
      </c>
      <c r="G12" s="5" t="n">
        <v>45</v>
      </c>
    </row>
    <row r="13">
      <c r="B13" s="5" t="inlineStr">
        <is>
          <t>Structured onboarding rebuild</t>
        </is>
      </c>
      <c r="C13" s="5" t="inlineStr">
        <is>
          <t>NO</t>
        </is>
      </c>
      <c r="D13" s="5" t="n">
        <v>200000</v>
      </c>
      <c r="E13" s="5" t="n">
        <v>0.05</v>
      </c>
      <c r="F13" s="6">
        <f>IF(B13&lt;&gt;"",IF(C13="YES",C$5*E13,0),0)</f>
        <v/>
      </c>
      <c r="G13" s="5" t="n">
        <v>60</v>
      </c>
    </row>
    <row r="14">
      <c r="B14" s="5" t="inlineStr">
        <is>
          <t>Exit interview process redesign</t>
        </is>
      </c>
      <c r="C14" s="5" t="inlineStr">
        <is>
          <t>NO</t>
        </is>
      </c>
      <c r="D14" s="5" t="n">
        <v>60000</v>
      </c>
      <c r="E14" s="5" t="n">
        <v>0.02</v>
      </c>
      <c r="F14" s="6">
        <f>IF(B14&lt;&gt;"",IF(C14="YES",C$5*E14,0),0)</f>
        <v/>
      </c>
      <c r="G14" s="5" t="n">
        <v>30</v>
      </c>
    </row>
    <row r="15">
      <c r="B15" s="5" t="inlineStr">
        <is>
          <t>OKR alignment workshop</t>
        </is>
      </c>
      <c r="C15" s="5" t="inlineStr">
        <is>
          <t>NO</t>
        </is>
      </c>
      <c r="D15" s="5" t="n">
        <v>100000</v>
      </c>
      <c r="E15" s="5" t="n">
        <v>0.03</v>
      </c>
      <c r="F15" s="6">
        <f>IF(B15&lt;&gt;"",IF(C15="YES",C$5*E15,0),0)</f>
        <v/>
      </c>
      <c r="G15" s="5" t="n">
        <v>45</v>
      </c>
    </row>
    <row r="16">
      <c r="C16" s="5" t="inlineStr">
        <is>
          <t>NO</t>
        </is>
      </c>
      <c r="E16" s="5" t="n">
        <v>0</v>
      </c>
      <c r="F16" s="6">
        <f>IF(B16&lt;&gt;"",IF(C16="YES",C$5*E16,0),0)</f>
        <v/>
      </c>
    </row>
    <row r="17">
      <c r="C17" s="5" t="inlineStr">
        <is>
          <t>NO</t>
        </is>
      </c>
      <c r="E17" s="5" t="n">
        <v>0</v>
      </c>
      <c r="F17" s="6">
        <f>IF(B17&lt;&gt;"",IF(C17="YES",C$5*E17,0),0)</f>
        <v/>
      </c>
    </row>
    <row r="19">
      <c r="B19" s="10" t="inlineStr">
        <is>
          <t>SIMULATION SUMMARY</t>
        </is>
      </c>
    </row>
    <row r="20">
      <c r="B20" s="8" t="inlineStr">
        <is>
          <t>Total intervention cost</t>
        </is>
      </c>
      <c r="F20" s="6">
        <f>SUMIF(C8:C17,"YES",D8:D17)</f>
        <v/>
      </c>
    </row>
    <row r="21">
      <c r="B21" s="8" t="inlineStr">
        <is>
          <t>Total productivity recovery value</t>
        </is>
      </c>
      <c r="F21" s="6">
        <f>SUM(F8:F17)</f>
        <v/>
      </c>
    </row>
    <row r="22">
      <c r="B22" s="8" t="inlineStr">
        <is>
          <t>Net benefit</t>
        </is>
      </c>
      <c r="F22" s="6">
        <f>F21-D20</f>
        <v/>
      </c>
    </row>
    <row r="23">
      <c r="B23" s="8" t="inlineStr">
        <is>
          <t>Cost of doing nothing (annual)</t>
        </is>
      </c>
      <c r="F23" s="6">
        <f>C5*0.12</f>
        <v/>
      </c>
    </row>
  </sheetData>
  <mergeCells count="2">
    <mergeCell ref="B19:H19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2026-08-17T13:39:35Z</dcterms:created>
  <dcterms:modified xmlns:dcterms="http://purl.org/dc/terms/" xmlns:xsi="http://www.w3.org/2001/XMLSchema-instance" xsi:type="dcterms:W3CDTF">2026-08-17T13:39:35Z</dcterms:modified>
</cp:coreProperties>
</file>