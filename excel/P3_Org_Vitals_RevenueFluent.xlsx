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 Vitals Diagnostic" sheetId="1" state="visible" r:id="rId3"/>
    <sheet name="Org DNA Character Type" sheetId="2" state="visible" r:id="rId4"/>
    <sheet name="Prescription &amp; Simul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<sst xmlns="http://schemas.openxmlformats.org/spreadsheetml/2006/main" count="206" uniqueCount="147">
  <si>
    <t xml:space="preserve">ORG VITALS  —  Revenue Fluent</t>
  </si>
  <si>
    <t xml:space="preserve">You've been calling it culture. It's actually five vital signs — and some of yours are critical.</t>
  </si>
  <si>
    <t xml:space="preserve">Answer YES or NO to each signal. YES always means healthy. Verdict computes automatically.</t>
  </si>
  <si>
    <t xml:space="preserve">VS1  LEADERSHIP PULSE</t>
  </si>
  <si>
    <t xml:space="preserve">Leadership Energy — is energy flowing from the top, or is there a vacuum?</t>
  </si>
  <si>
    <t xml:space="preserve">OBSERVABLE SIGNAL</t>
  </si>
  <si>
    <t xml:space="preserve">YOUR ANSWER</t>
  </si>
  <si>
    <t xml:space="preserve">SCORE</t>
  </si>
  <si>
    <t xml:space="preserve">WHY IT MATTERS</t>
  </si>
  <si>
    <t xml:space="preserve">Senior leaders are visibly present and engaged with the team day-to-day</t>
  </si>
  <si>
    <t xml:space="preserve">NO</t>
  </si>
  <si>
    <t xml:space="preserve">Passive leadership creates energy vacuums filled with anxiety and politics.</t>
  </si>
  <si>
    <t xml:space="preserve">Leadership communicates strategy clearly and regularly</t>
  </si>
  <si>
    <t xml:space="preserve">Strategic ambiguity leads to misaligned effort and wasted resources.</t>
  </si>
  <si>
    <t xml:space="preserve">Leaders model the behaviours they expect from others</t>
  </si>
  <si>
    <t xml:space="preserve">Values-behaviour gaps destroy psychological safety faster than any policy.</t>
  </si>
  <si>
    <t xml:space="preserve">There is a clear succession plan for critical leadership roles</t>
  </si>
  <si>
    <t xml:space="preserve">Succession gaps create existential risk at the worst possible moment.</t>
  </si>
  <si>
    <t xml:space="preserve">VITAL SIGN 1 VERDICT — LEADERSHIP PULSE</t>
  </si>
  <si>
    <t xml:space="preserve">VS2  FEAR INDEX</t>
  </si>
  <si>
    <t xml:space="preserve">Fear Architecture — is the org operating from safety or from threat?</t>
  </si>
  <si>
    <t xml:space="preserve">People speak up in meetings without fear of negative consequences</t>
  </si>
  <si>
    <t xml:space="preserve">Silence in meetings = the real decisions happen in corridors.</t>
  </si>
  <si>
    <t xml:space="preserve">Mistakes are treated as learning opportunities, not blame events</t>
  </si>
  <si>
    <t xml:space="preserve">Blame cultures drive underground behaviour and knowledge hoarding.</t>
  </si>
  <si>
    <t xml:space="preserve">Knowledge is shared openly across teams, not hoarded</t>
  </si>
  <si>
    <t xml:space="preserve">Hoarded knowledge is an organisational liability waiting to materialise.</t>
  </si>
  <si>
    <t xml:space="preserve">New ideas are encouraged and acted on, not dismissed</t>
  </si>
  <si>
    <t xml:space="preserve">Innovation suppression is a slow death — orgs that stop experimenting stop learning.</t>
  </si>
  <si>
    <t xml:space="preserve">VITAL SIGN 2 VERDICT — FEAR INDEX</t>
  </si>
  <si>
    <t xml:space="preserve">VS3  MIDDLE LAYER HEALTH</t>
  </si>
  <si>
    <t xml:space="preserve">Middle Layer Decay — is the transmission belt between leadership and frontline working?</t>
  </si>
  <si>
    <t xml:space="preserve">Managers have regular, substantive 1:1s with their direct reports</t>
  </si>
  <si>
    <t xml:space="preserve">No 1:1s = no early warning system for performance or flight risk.</t>
  </si>
  <si>
    <t xml:space="preserve">Middle managers actively develop their teams, not just manage tasks</t>
  </si>
  <si>
    <t xml:space="preserve">Managers who only manage tasks produce teams that only execute tasks.</t>
  </si>
  <si>
    <t xml:space="preserve">Managers handle difficult conversations directly rather than escalating everything</t>
  </si>
  <si>
    <t xml:space="preserve">Escalation culture overloads leadership and infantilises the middle layer.</t>
  </si>
  <si>
    <t xml:space="preserve">The middle layer is not blocking initiatives to protect their own position</t>
  </si>
  <si>
    <t xml:space="preserve">Self-protective middle layers are the most common cause of initiative failure.</t>
  </si>
  <si>
    <t xml:space="preserve">VITAL SIGN 3 VERDICT — MIDDLE LAYER HEALTH</t>
  </si>
  <si>
    <t xml:space="preserve">VS4  EXECUTION FIDELITY</t>
  </si>
  <si>
    <t xml:space="preserve">Operational Drift — is activity connected to outcome?</t>
  </si>
  <si>
    <t xml:space="preserve">Teams can clearly articulate how their work connects to org strategy</t>
  </si>
  <si>
    <t xml:space="preserve">Activity disconnected from outcome is the definition of organisational drift.</t>
  </si>
  <si>
    <t xml:space="preserve">Meetings have clear agendas and produce documented decisions</t>
  </si>
  <si>
    <t xml:space="preserve">Meeting debt is a real cost — 30% of meetings produce no documented decision.</t>
  </si>
  <si>
    <t xml:space="preserve">Priorities are clear and stable — people are not context-switching constantly</t>
  </si>
  <si>
    <t xml:space="preserve">Constant context-switching is the silent productivity killer.</t>
  </si>
  <si>
    <t xml:space="preserve">There is a culture of documentation and knowledge capture</t>
  </si>
  <si>
    <t xml:space="preserve">Undocumented knowledge is a liability — when people leave, it walks out.</t>
  </si>
  <si>
    <t xml:space="preserve">VITAL SIGN 4 VERDICT — EXECUTION FIDELITY</t>
  </si>
  <si>
    <t xml:space="preserve">VS5  HR MIRROR</t>
  </si>
  <si>
    <t xml:space="preserve">HR's Own Blind Spot — is HR part of the solution or quietly part of the problem?</t>
  </si>
  <si>
    <t xml:space="preserve">HR has a clear data-driven view of talent health across the organisation</t>
  </si>
  <si>
    <t xml:space="preserve">HR without data is HR on intuition. That's not a function, it's a feeling.</t>
  </si>
  <si>
    <t xml:space="preserve">Exit interviews are conducted and insights are acted on</t>
  </si>
  <si>
    <t xml:space="preserve">Unacted exit data is the most expensive research in any organisation.</t>
  </si>
  <si>
    <t xml:space="preserve">Onboarding is structured and consistently delivered</t>
  </si>
  <si>
    <t xml:space="preserve">Inconsistent onboarding is the fastest way to invalidate your hiring decisions.</t>
  </si>
  <si>
    <t xml:space="preserve">HR is proactive about flagging people risk, not reactive after problems emerge</t>
  </si>
  <si>
    <t xml:space="preserve">Reactive HR is always too late. The cost is already in the P&amp;L.</t>
  </si>
  <si>
    <t xml:space="preserve">VITAL SIGN 5 VERDICT — HR MIRROR</t>
  </si>
  <si>
    <t xml:space="preserve">ORG VITALS — OVERALL SUMMARY</t>
  </si>
  <si>
    <t xml:space="preserve">VS1 — LEADERSHIP PULSE</t>
  </si>
  <si>
    <t xml:space="preserve">VS2 — FEAR INDEX</t>
  </si>
  <si>
    <t xml:space="preserve">VS3 — MIDDLE LAYER HEALTH</t>
  </si>
  <si>
    <t xml:space="preserve">VS4 — EXECUTION FIDELITY</t>
  </si>
  <si>
    <t xml:space="preserve">VS5 — HR MIRROR</t>
  </si>
  <si>
    <t xml:space="preserve">TOTAL HEALTHY SIGNALS</t>
  </si>
  <si>
    <t xml:space="preserve">DNA Character Type is determined in the Org DNA tab based on your vital sign verdicts.</t>
  </si>
  <si>
    <t xml:space="preserve">ORG DNA — CHARACTER TYPE</t>
  </si>
  <si>
    <t xml:space="preserve">The five vital sign verdicts combine to produce your organisation's DNA character type.</t>
  </si>
  <si>
    <t xml:space="preserve">YOUR VITAL SIGN VERDICTS (auto-populated from Diagnostic tab)</t>
  </si>
  <si>
    <t xml:space="preserve">Leadership Pulse</t>
  </si>
  <si>
    <t xml:space="preserve">Fear Index</t>
  </si>
  <si>
    <t xml:space="preserve">Middle Layer Health</t>
  </si>
  <si>
    <t xml:space="preserve">Execution Fidelity</t>
  </si>
  <si>
    <t xml:space="preserve">THE 8 ORG DNA CHARACTER TYPES</t>
  </si>
  <si>
    <t xml:space="preserve">TYPE</t>
  </si>
  <si>
    <t xml:space="preserve">SIGNAL PATTERN</t>
  </si>
  <si>
    <t xml:space="preserve">WHAT IT MEANS</t>
  </si>
  <si>
    <t xml:space="preserve">WHAT BREAKS FIRST</t>
  </si>
  <si>
    <t xml:space="preserve">URGENCY</t>
  </si>
  <si>
    <t xml:space="preserve">THE ROCKET</t>
  </si>
  <si>
    <t xml:space="preserve">4-5 Healthy signals</t>
  </si>
  <si>
    <t xml:space="preserve">High energy, high execution. Strategic clarity at every level. Rare.</t>
  </si>
  <si>
    <t xml:space="preserve">Scaling attempts</t>
  </si>
  <si>
    <t xml:space="preserve">Monitor</t>
  </si>
  <si>
    <t xml:space="preserve">THE THOROUGHBRED</t>
  </si>
  <si>
    <t xml:space="preserve">3 Healthy, 1 Warning</t>
  </si>
  <si>
    <t xml:space="preserve">Strong but fragile. One structural weakness. Fix it before scaling.</t>
  </si>
  <si>
    <t xml:space="preserve">Key people leaving</t>
  </si>
  <si>
    <t xml:space="preserve">Plan</t>
  </si>
  <si>
    <t xml:space="preserve">THE BUREAUCRAT</t>
  </si>
  <si>
    <t xml:space="preserve">Strong Leadership + Weak Execution</t>
  </si>
  <si>
    <t xml:space="preserve">Vision without delivery. Strategy without traction.</t>
  </si>
  <si>
    <t xml:space="preserve">Execution</t>
  </si>
  <si>
    <t xml:space="preserve">Address soon</t>
  </si>
  <si>
    <t xml:space="preserve">THE PRESSURE COOKER</t>
  </si>
  <si>
    <t xml:space="preserve">Fear Index = Critical</t>
  </si>
  <si>
    <t xml:space="preserve">High output driven by threat. Brittle. Will fracture under stress.</t>
  </si>
  <si>
    <t xml:space="preserve">People</t>
  </si>
  <si>
    <t xml:space="preserve">Urgent</t>
  </si>
  <si>
    <t xml:space="preserve">THE HOLLOW ORG</t>
  </si>
  <si>
    <t xml:space="preserve">Middle Layer = Critical</t>
  </si>
  <si>
    <t xml:space="preserve">Leadership and frontline disconnected. Execution is guesswork.</t>
  </si>
  <si>
    <t xml:space="preserve">Delivery</t>
  </si>
  <si>
    <t xml:space="preserve">THE GHOST ORG</t>
  </si>
  <si>
    <t xml:space="preserve">HR Mirror = Critical</t>
  </si>
  <si>
    <t xml:space="preserve">People decisions made blind. No early warning system.</t>
  </si>
  <si>
    <t xml:space="preserve">Talent</t>
  </si>
  <si>
    <t xml:space="preserve">THE DRIFTER</t>
  </si>
  <si>
    <t xml:space="preserve">2-3 Warning signals</t>
  </si>
  <si>
    <t xml:space="preserve">Functioning but directionless. Slow decay without intervention.</t>
  </si>
  <si>
    <t xml:space="preserve">Culture</t>
  </si>
  <si>
    <t xml:space="preserve">THE FRACTURE</t>
  </si>
  <si>
    <t xml:space="preserve">3+ Critical signals</t>
  </si>
  <si>
    <t xml:space="preserve">Multiple systemic failures. Urgent intervention required.</t>
  </si>
  <si>
    <t xml:space="preserve">Everything</t>
  </si>
  <si>
    <t xml:space="preserve">Critical</t>
  </si>
  <si>
    <t xml:space="preserve">ORG VITALS — PRESCRIPTION &amp; FINANCIAL SIMULATION</t>
  </si>
  <si>
    <t xml:space="preserve">For each Critical or Warning signal — a specific, costed, time-bound intervention.</t>
  </si>
  <si>
    <t xml:space="preserve">BLUE = your inputs  |  Check the "Implement?" box to include in your simulation total  |  Costs are indicative — replace with your actuals</t>
  </si>
  <si>
    <t xml:space="preserve">INTERVENTION</t>
  </si>
  <si>
    <t xml:space="preserve">VITAL SIGN</t>
  </si>
  <si>
    <t xml:space="preserve">EST. COST</t>
  </si>
  <si>
    <t xml:space="preserve">EST. 12M RETURN</t>
  </si>
  <si>
    <t xml:space="preserve">IMPLEMENT?</t>
  </si>
  <si>
    <t xml:space="preserve">NET IMPACT</t>
  </si>
  <si>
    <t xml:space="preserve">Structured monthly all-hands with open Q&amp;A format</t>
  </si>
  <si>
    <t xml:space="preserve">Leadership visibility programme — weekly floor walks</t>
  </si>
  <si>
    <t xml:space="preserve">Psychological safety workshops for all managers</t>
  </si>
  <si>
    <t xml:space="preserve">Blameless post-mortem process implementation</t>
  </si>
  <si>
    <t xml:space="preserve">Manager effectiveness programme (6 months)</t>
  </si>
  <si>
    <t xml:space="preserve">Structured 1:1 cadence rollout with accountability</t>
  </si>
  <si>
    <t xml:space="preserve">OKR implementation — connect work to strategy</t>
  </si>
  <si>
    <t xml:space="preserve">Meeting audit + documentation culture programme</t>
  </si>
  <si>
    <t xml:space="preserve">HR analytics dashboard implementation</t>
  </si>
  <si>
    <t xml:space="preserve">HR Mirror</t>
  </si>
  <si>
    <t xml:space="preserve">Exit interview programme with quarterly insight reports</t>
  </si>
  <si>
    <t xml:space="preserve">Onboarding redesign — structured 90-day programme</t>
  </si>
  <si>
    <t xml:space="preserve">SELECTED INTERVENTIONS — TOTAL INVESTMENT</t>
  </si>
  <si>
    <t xml:space="preserve">SELECTED INTERVENTIONS — TOTAL 12M RETURN</t>
  </si>
  <si>
    <t xml:space="preserve">SELECTED INTERVENTIONS — NET IMPACT</t>
  </si>
  <si>
    <t xml:space="preserve">RETURN ON INTERVENTION (ROI)</t>
  </si>
  <si>
    <t xml:space="preserve">COST OF DOING NOTHING: For each Critical vital sign left unaddressed, estimated 12-month productivity drag = 8-12% of affected team's compensation base.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</si>
</sst>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&quot; yes&quot;"/>
    <numFmt numFmtId="167" formatCode="#,##0;\(#,##0\);\-"/>
    <numFmt numFmtId="168" formatCode="0.00\x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0B830"/>
      <name val="Arial"/>
      <family val="0"/>
      <charset val="1"/>
    </font>
    <font>
      <i val="true"/>
      <sz val="10"/>
      <color rgb="FFD060B0"/>
      <name val="Arial"/>
      <family val="0"/>
      <charset val="1"/>
    </font>
    <font>
      <sz val="9"/>
      <color rgb="FFC8A8C0"/>
      <name val="Arial"/>
      <family val="0"/>
      <charset val="1"/>
    </font>
    <font>
      <b val="true"/>
      <sz val="10"/>
      <color rgb="FFD060B0"/>
      <name val="Arial"/>
      <family val="0"/>
      <charset val="1"/>
    </font>
    <font>
      <i val="true"/>
      <sz val="9"/>
      <color rgb="FFC8A8C0"/>
      <name val="Arial"/>
      <family val="0"/>
      <charset val="1"/>
    </font>
    <font>
      <b val="true"/>
      <sz val="8"/>
      <color rgb="FFE8C87A"/>
      <name val="Arial"/>
      <family val="0"/>
      <charset val="1"/>
    </font>
    <font>
      <sz val="8"/>
      <color rgb="FFC8A8C0"/>
      <name val="Arial"/>
      <family val="0"/>
      <charset val="1"/>
    </font>
    <font>
      <sz val="9"/>
      <color rgb="FFEED8E8"/>
      <name val="Arial"/>
      <family val="0"/>
      <charset val="1"/>
    </font>
    <font>
      <b val="true"/>
      <sz val="10"/>
      <color rgb="FFE05C3A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C8A8C0"/>
      <name val="Arial"/>
      <family val="0"/>
      <charset val="1"/>
    </font>
    <font>
      <b val="true"/>
      <sz val="9"/>
      <color rgb="FFE8C87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E0B830"/>
      <name val="Arial"/>
      <family val="0"/>
      <charset val="1"/>
    </font>
    <font>
      <b val="true"/>
      <sz val="12"/>
      <color rgb="FFE0B830"/>
      <name val="Arial"/>
      <family val="0"/>
      <charset val="1"/>
    </font>
    <font>
      <b val="true"/>
      <sz val="10"/>
      <color rgb="FFEED8E8"/>
      <name val="Arial"/>
      <family val="0"/>
      <charset val="1"/>
    </font>
    <font>
      <b val="true"/>
      <sz val="10"/>
      <color rgb="FFE0B830"/>
      <name val="Arial"/>
      <family val="0"/>
      <charset val="1"/>
    </font>
    <font>
      <b val="true"/>
      <sz val="10"/>
      <color rgb="FFE8C87A"/>
      <name val="Arial"/>
      <family val="0"/>
      <charset val="1"/>
    </font>
    <font>
      <b val="true"/>
      <sz val="9"/>
      <color rgb="FFEED8E8"/>
      <name val="Arial"/>
      <family val="0"/>
      <charset val="1"/>
    </font>
    <font>
      <b val="true"/>
      <sz val="11"/>
      <color rgb="FFE0B830"/>
      <name val="Arial"/>
      <family val="0"/>
      <charset val="1"/>
    </font>
    <font>
      <b val="true"/>
      <sz val="9"/>
      <color rgb="FF38C490"/>
      <name val="Arial"/>
      <family val="0"/>
      <charset val="1"/>
    </font>
    <font>
      <sz val="9"/>
      <color rgb="FFE05C3A"/>
      <name val="Arial"/>
      <family val="0"/>
      <charset val="1"/>
    </font>
    <font>
      <b val="true"/>
      <sz val="9"/>
      <color rgb="FFE05C3A"/>
      <name val="Arial"/>
      <family val="0"/>
      <charset val="1"/>
    </font>
    <font>
      <b val="true"/>
      <sz val="9"/>
      <color rgb="FFD060B0"/>
      <name val="Arial"/>
      <family val="0"/>
      <charset val="1"/>
    </font>
    <font>
      <b val="true"/>
      <sz val="9"/>
      <color rgb="FFC8A8C0"/>
      <name val="Arial"/>
      <family val="0"/>
      <charset val="1"/>
    </font>
    <font>
      <b val="true"/>
      <sz val="13"/>
      <color rgb="FFE0B830"/>
      <name val="Arial"/>
      <family val="0"/>
      <charset val="1"/>
    </font>
    <font>
      <sz val="8"/>
      <color rgb="FFD060B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38C49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A0608"/>
        <bgColor rgb="FF000000"/>
      </patternFill>
    </fill>
    <fill>
      <patternFill patternType="solid">
        <fgColor rgb="FF180C14"/>
        <bgColor rgb="FF1A0E18"/>
      </patternFill>
    </fill>
    <fill>
      <patternFill patternType="solid">
        <fgColor rgb="FF220E1A"/>
        <bgColor rgb="FF1A0E18"/>
      </patternFill>
    </fill>
    <fill>
      <patternFill patternType="solid">
        <fgColor rgb="FF1A0E18"/>
        <bgColor rgb="FF180C14"/>
      </patternFill>
    </fill>
    <fill>
      <patternFill patternType="solid">
        <fgColor rgb="FF2A0E22"/>
        <bgColor rgb="FF220E1A"/>
      </patternFill>
    </fill>
    <fill>
      <patternFill patternType="solid">
        <fgColor rgb="FF380820"/>
        <bgColor rgb="FF2A0E22"/>
      </patternFill>
    </fill>
    <fill>
      <patternFill patternType="solid">
        <fgColor rgb="FF2A0808"/>
        <bgColor rgb="FF220E1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A0808"/>
      <rgbColor rgb="FF008000"/>
      <rgbColor rgb="FF180C14"/>
      <rgbColor rgb="FF808000"/>
      <rgbColor rgb="FF800080"/>
      <rgbColor rgb="FF008080"/>
      <rgbColor rgb="FFC8A8C0"/>
      <rgbColor rgb="FF808080"/>
      <rgbColor rgb="FF9999FF"/>
      <rgbColor rgb="FF993366"/>
      <rgbColor rgb="FFFFFFCC"/>
      <rgbColor rgb="FFCCFFFF"/>
      <rgbColor rgb="FF380820"/>
      <rgbColor rgb="FFD060B0"/>
      <rgbColor rgb="FF0066CC"/>
      <rgbColor rgb="FFEED8E8"/>
      <rgbColor rgb="FF0A0608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87A"/>
      <rgbColor rgb="FF3366FF"/>
      <rgbColor rgb="FF38C490"/>
      <rgbColor rgb="FF99CC00"/>
      <rgbColor rgb="FFE0B830"/>
      <rgbColor rgb="FFFF9900"/>
      <rgbColor rgb="FFE05C3A"/>
      <rgbColor rgb="FF666699"/>
      <rgbColor rgb="FF969696"/>
      <rgbColor rgb="FF003366"/>
      <rgbColor rgb="FF339966"/>
      <rgbColor rgb="FF1A0E18"/>
      <rgbColor rgb="FF220E1A"/>
      <rgbColor rgb="FF993300"/>
      <rgbColor rgb="FF993366"/>
      <rgbColor rgb="FF333399"/>
      <rgbColor rgb="FF2A0E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</row>
    <row r="4" customFormat="false" ht="7.5" hidden="false" customHeight="true" outlineLevel="0" collapsed="false">
      <c r="A4" s="4"/>
      <c r="B4" s="4"/>
      <c r="C4" s="4"/>
      <c r="D4" s="4"/>
      <c r="E4" s="4"/>
    </row>
    <row r="5" customFormat="false" ht="19.5" hidden="false" customHeight="true" outlineLevel="0" collapsed="false">
      <c r="A5" s="5" t="s">
        <v>3</v>
      </c>
      <c r="B5" s="5"/>
      <c r="C5" s="5"/>
      <c r="D5" s="5"/>
      <c r="E5" s="5"/>
    </row>
    <row r="6" customFormat="false" ht="15.75" hidden="false" customHeight="true" outlineLevel="0" collapsed="false">
      <c r="B6" s="6" t="s">
        <v>4</v>
      </c>
      <c r="C6" s="6"/>
      <c r="D6" s="6"/>
      <c r="E6" s="6"/>
    </row>
    <row r="7" customFormat="false" ht="18" hidden="false" customHeight="true" outlineLevel="0" collapsed="false">
      <c r="A7" s="7"/>
      <c r="B7" s="8" t="s">
        <v>5</v>
      </c>
      <c r="C7" s="8" t="s">
        <v>6</v>
      </c>
      <c r="D7" s="8" t="s">
        <v>7</v>
      </c>
      <c r="E7" s="8" t="s">
        <v>8</v>
      </c>
    </row>
    <row r="8" customFormat="false" ht="31.5" hidden="false" customHeight="true" outlineLevel="0" collapsed="false">
      <c r="A8" s="9" t="n">
        <v>1</v>
      </c>
      <c r="B8" s="10" t="s">
        <v>9</v>
      </c>
      <c r="C8" s="11" t="s">
        <v>10</v>
      </c>
      <c r="D8" s="12" t="n">
        <f aca="false">IF(C8="YES",1,0)</f>
        <v>0</v>
      </c>
      <c r="E8" s="13" t="s">
        <v>11</v>
      </c>
    </row>
    <row r="9" customFormat="false" ht="31.5" hidden="false" customHeight="true" outlineLevel="0" collapsed="false">
      <c r="A9" s="9" t="n">
        <v>2</v>
      </c>
      <c r="B9" s="10" t="s">
        <v>12</v>
      </c>
      <c r="C9" s="11" t="s">
        <v>10</v>
      </c>
      <c r="D9" s="12" t="n">
        <f aca="false">IF(C9="YES",1,0)</f>
        <v>0</v>
      </c>
      <c r="E9" s="13" t="s">
        <v>13</v>
      </c>
    </row>
    <row r="10" customFormat="false" ht="31.5" hidden="false" customHeight="true" outlineLevel="0" collapsed="false">
      <c r="A10" s="9" t="n">
        <v>3</v>
      </c>
      <c r="B10" s="10" t="s">
        <v>14</v>
      </c>
      <c r="C10" s="11" t="s">
        <v>10</v>
      </c>
      <c r="D10" s="12" t="n">
        <f aca="false">IF(C10="YES",1,0)</f>
        <v>0</v>
      </c>
      <c r="E10" s="13" t="s">
        <v>15</v>
      </c>
    </row>
    <row r="11" customFormat="false" ht="31.5" hidden="false" customHeight="true" outlineLevel="0" collapsed="false">
      <c r="A11" s="9" t="n">
        <v>4</v>
      </c>
      <c r="B11" s="10" t="s">
        <v>16</v>
      </c>
      <c r="C11" s="11" t="s">
        <v>10</v>
      </c>
      <c r="D11" s="12" t="n">
        <f aca="false">IF(C11="YES",1,0)</f>
        <v>0</v>
      </c>
      <c r="E11" s="13" t="s">
        <v>17</v>
      </c>
    </row>
    <row r="12" customFormat="false" ht="21.75" hidden="false" customHeight="true" outlineLevel="0" collapsed="false">
      <c r="A12" s="14"/>
      <c r="B12" s="15" t="s">
        <v>18</v>
      </c>
      <c r="C12" s="16" t="n">
        <f aca="false">SUM(D8:D11)</f>
        <v>0</v>
      </c>
      <c r="D12" s="17" t="str">
        <f aca="false">IF(SUM(D8:D11)&gt;=3,"HEALTHY",IF(SUM(D8:D11)&gt;=2,"WARNING","CRITICAL"))</f>
        <v>CRITICAL</v>
      </c>
      <c r="E12" s="14"/>
    </row>
    <row r="13" customFormat="false" ht="7.5" hidden="false" customHeight="true" outlineLevel="0" collapsed="false">
      <c r="A13" s="4"/>
      <c r="B13" s="4"/>
      <c r="C13" s="4"/>
      <c r="D13" s="4"/>
      <c r="E13" s="4"/>
    </row>
    <row r="14" customFormat="false" ht="19.5" hidden="false" customHeight="true" outlineLevel="0" collapsed="false">
      <c r="A14" s="5" t="s">
        <v>19</v>
      </c>
      <c r="B14" s="5"/>
      <c r="C14" s="5"/>
      <c r="D14" s="5"/>
      <c r="E14" s="5"/>
    </row>
    <row r="15" customFormat="false" ht="15.75" hidden="false" customHeight="true" outlineLevel="0" collapsed="false">
      <c r="B15" s="6" t="s">
        <v>20</v>
      </c>
      <c r="C15" s="6"/>
      <c r="D15" s="6"/>
      <c r="E15" s="6"/>
    </row>
    <row r="16" customFormat="false" ht="18" hidden="false" customHeight="true" outlineLevel="0" collapsed="false">
      <c r="A16" s="7"/>
      <c r="B16" s="8" t="s">
        <v>5</v>
      </c>
      <c r="C16" s="8" t="s">
        <v>6</v>
      </c>
      <c r="D16" s="8" t="s">
        <v>7</v>
      </c>
      <c r="E16" s="8" t="s">
        <v>8</v>
      </c>
    </row>
    <row r="17" customFormat="false" ht="31.5" hidden="false" customHeight="true" outlineLevel="0" collapsed="false">
      <c r="A17" s="9" t="n">
        <v>5</v>
      </c>
      <c r="B17" s="10" t="s">
        <v>21</v>
      </c>
      <c r="C17" s="11" t="s">
        <v>10</v>
      </c>
      <c r="D17" s="12" t="n">
        <f aca="false">IF(C17="YES",1,0)</f>
        <v>0</v>
      </c>
      <c r="E17" s="13" t="s">
        <v>22</v>
      </c>
    </row>
    <row r="18" customFormat="false" ht="31.5" hidden="false" customHeight="true" outlineLevel="0" collapsed="false">
      <c r="A18" s="9" t="n">
        <v>6</v>
      </c>
      <c r="B18" s="10" t="s">
        <v>23</v>
      </c>
      <c r="C18" s="11" t="s">
        <v>10</v>
      </c>
      <c r="D18" s="12" t="n">
        <f aca="false">IF(C18="YES",1,0)</f>
        <v>0</v>
      </c>
      <c r="E18" s="13" t="s">
        <v>24</v>
      </c>
    </row>
    <row r="19" customFormat="false" ht="31.5" hidden="false" customHeight="true" outlineLevel="0" collapsed="false">
      <c r="A19" s="9" t="n">
        <v>7</v>
      </c>
      <c r="B19" s="10" t="s">
        <v>25</v>
      </c>
      <c r="C19" s="11" t="s">
        <v>10</v>
      </c>
      <c r="D19" s="12" t="n">
        <f aca="false">IF(C19="YES",1,0)</f>
        <v>0</v>
      </c>
      <c r="E19" s="13" t="s">
        <v>26</v>
      </c>
    </row>
    <row r="20" customFormat="false" ht="31.5" hidden="false" customHeight="true" outlineLevel="0" collapsed="false">
      <c r="A20" s="9" t="n">
        <v>8</v>
      </c>
      <c r="B20" s="10" t="s">
        <v>27</v>
      </c>
      <c r="C20" s="11" t="s">
        <v>10</v>
      </c>
      <c r="D20" s="12" t="n">
        <f aca="false">IF(C20="YES",1,0)</f>
        <v>0</v>
      </c>
      <c r="E20" s="13" t="s">
        <v>28</v>
      </c>
    </row>
    <row r="21" customFormat="false" ht="21.75" hidden="false" customHeight="true" outlineLevel="0" collapsed="false">
      <c r="A21" s="14"/>
      <c r="B21" s="15" t="s">
        <v>29</v>
      </c>
      <c r="C21" s="16" t="n">
        <f aca="false">SUM(D17:D20)</f>
        <v>0</v>
      </c>
      <c r="D21" s="17" t="str">
        <f aca="false">IF(SUM(D17:D20)&gt;=3,"HEALTHY",IF(SUM(D17:D20)&gt;=2,"WARNING","CRITICAL"))</f>
        <v>CRITICAL</v>
      </c>
      <c r="E21" s="14"/>
    </row>
    <row r="22" customFormat="false" ht="7.5" hidden="false" customHeight="true" outlineLevel="0" collapsed="false">
      <c r="A22" s="4"/>
      <c r="B22" s="4"/>
      <c r="C22" s="4"/>
      <c r="D22" s="4"/>
      <c r="E22" s="4"/>
    </row>
    <row r="23" customFormat="false" ht="19.5" hidden="false" customHeight="true" outlineLevel="0" collapsed="false">
      <c r="A23" s="5" t="s">
        <v>30</v>
      </c>
      <c r="B23" s="5"/>
      <c r="C23" s="5"/>
      <c r="D23" s="5"/>
      <c r="E23" s="5"/>
    </row>
    <row r="24" customFormat="false" ht="15.75" hidden="false" customHeight="true" outlineLevel="0" collapsed="false">
      <c r="B24" s="6" t="s">
        <v>31</v>
      </c>
      <c r="C24" s="6"/>
      <c r="D24" s="6"/>
      <c r="E24" s="6"/>
    </row>
    <row r="25" customFormat="false" ht="18" hidden="false" customHeight="true" outlineLevel="0" collapsed="false">
      <c r="A25" s="7"/>
      <c r="B25" s="8" t="s">
        <v>5</v>
      </c>
      <c r="C25" s="8" t="s">
        <v>6</v>
      </c>
      <c r="D25" s="8" t="s">
        <v>7</v>
      </c>
      <c r="E25" s="8" t="s">
        <v>8</v>
      </c>
    </row>
    <row r="26" customFormat="false" ht="31.5" hidden="false" customHeight="true" outlineLevel="0" collapsed="false">
      <c r="A26" s="9" t="n">
        <v>9</v>
      </c>
      <c r="B26" s="10" t="s">
        <v>32</v>
      </c>
      <c r="C26" s="11" t="s">
        <v>10</v>
      </c>
      <c r="D26" s="12" t="n">
        <f aca="false">IF(C26="YES",1,0)</f>
        <v>0</v>
      </c>
      <c r="E26" s="13" t="s">
        <v>33</v>
      </c>
    </row>
    <row r="27" customFormat="false" ht="31.5" hidden="false" customHeight="true" outlineLevel="0" collapsed="false">
      <c r="A27" s="9" t="n">
        <v>10</v>
      </c>
      <c r="B27" s="10" t="s">
        <v>34</v>
      </c>
      <c r="C27" s="11" t="s">
        <v>10</v>
      </c>
      <c r="D27" s="12" t="n">
        <f aca="false">IF(C27="YES",1,0)</f>
        <v>0</v>
      </c>
      <c r="E27" s="13" t="s">
        <v>35</v>
      </c>
    </row>
    <row r="28" customFormat="false" ht="31.5" hidden="false" customHeight="true" outlineLevel="0" collapsed="false">
      <c r="A28" s="9" t="n">
        <v>11</v>
      </c>
      <c r="B28" s="10" t="s">
        <v>36</v>
      </c>
      <c r="C28" s="11" t="s">
        <v>10</v>
      </c>
      <c r="D28" s="12" t="n">
        <f aca="false">IF(C28="YES",1,0)</f>
        <v>0</v>
      </c>
      <c r="E28" s="13" t="s">
        <v>37</v>
      </c>
    </row>
    <row r="29" customFormat="false" ht="31.5" hidden="false" customHeight="true" outlineLevel="0" collapsed="false">
      <c r="A29" s="9" t="n">
        <v>12</v>
      </c>
      <c r="B29" s="10" t="s">
        <v>38</v>
      </c>
      <c r="C29" s="11" t="s">
        <v>10</v>
      </c>
      <c r="D29" s="12" t="n">
        <f aca="false">IF(C29="YES",1,0)</f>
        <v>0</v>
      </c>
      <c r="E29" s="13" t="s">
        <v>39</v>
      </c>
    </row>
    <row r="30" customFormat="false" ht="21.75" hidden="false" customHeight="true" outlineLevel="0" collapsed="false">
      <c r="A30" s="14"/>
      <c r="B30" s="15" t="s">
        <v>40</v>
      </c>
      <c r="C30" s="16" t="n">
        <f aca="false">SUM(D26:D29)</f>
        <v>0</v>
      </c>
      <c r="D30" s="17" t="str">
        <f aca="false">IF(SUM(D26:D29)&gt;=3,"HEALTHY",IF(SUM(D26:D29)&gt;=2,"WARNING","CRITICAL"))</f>
        <v>CRITICAL</v>
      </c>
      <c r="E30" s="14"/>
    </row>
    <row r="31" customFormat="false" ht="7.5" hidden="false" customHeight="true" outlineLevel="0" collapsed="false">
      <c r="A31" s="4"/>
      <c r="B31" s="4"/>
      <c r="C31" s="4"/>
      <c r="D31" s="4"/>
      <c r="E31" s="4"/>
    </row>
    <row r="32" customFormat="false" ht="19.5" hidden="false" customHeight="true" outlineLevel="0" collapsed="false">
      <c r="A32" s="5" t="s">
        <v>41</v>
      </c>
      <c r="B32" s="5"/>
      <c r="C32" s="5"/>
      <c r="D32" s="5"/>
      <c r="E32" s="5"/>
    </row>
    <row r="33" customFormat="false" ht="15.75" hidden="false" customHeight="true" outlineLevel="0" collapsed="false">
      <c r="B33" s="6" t="s">
        <v>42</v>
      </c>
      <c r="C33" s="6"/>
      <c r="D33" s="6"/>
      <c r="E33" s="6"/>
    </row>
    <row r="34" customFormat="false" ht="18" hidden="false" customHeight="true" outlineLevel="0" collapsed="false">
      <c r="A34" s="7"/>
      <c r="B34" s="8" t="s">
        <v>5</v>
      </c>
      <c r="C34" s="8" t="s">
        <v>6</v>
      </c>
      <c r="D34" s="8" t="s">
        <v>7</v>
      </c>
      <c r="E34" s="8" t="s">
        <v>8</v>
      </c>
    </row>
    <row r="35" customFormat="false" ht="31.5" hidden="false" customHeight="true" outlineLevel="0" collapsed="false">
      <c r="A35" s="9" t="n">
        <v>13</v>
      </c>
      <c r="B35" s="10" t="s">
        <v>43</v>
      </c>
      <c r="C35" s="11" t="s">
        <v>10</v>
      </c>
      <c r="D35" s="12" t="n">
        <f aca="false">IF(C35="YES",1,0)</f>
        <v>0</v>
      </c>
      <c r="E35" s="13" t="s">
        <v>44</v>
      </c>
    </row>
    <row r="36" customFormat="false" ht="31.5" hidden="false" customHeight="true" outlineLevel="0" collapsed="false">
      <c r="A36" s="9" t="n">
        <v>14</v>
      </c>
      <c r="B36" s="10" t="s">
        <v>45</v>
      </c>
      <c r="C36" s="11" t="s">
        <v>10</v>
      </c>
      <c r="D36" s="12" t="n">
        <f aca="false">IF(C36="YES",1,0)</f>
        <v>0</v>
      </c>
      <c r="E36" s="13" t="s">
        <v>46</v>
      </c>
    </row>
    <row r="37" customFormat="false" ht="31.5" hidden="false" customHeight="true" outlineLevel="0" collapsed="false">
      <c r="A37" s="9" t="n">
        <v>15</v>
      </c>
      <c r="B37" s="10" t="s">
        <v>47</v>
      </c>
      <c r="C37" s="11" t="s">
        <v>10</v>
      </c>
      <c r="D37" s="12" t="n">
        <f aca="false">IF(C37="YES",1,0)</f>
        <v>0</v>
      </c>
      <c r="E37" s="13" t="s">
        <v>48</v>
      </c>
    </row>
    <row r="38" customFormat="false" ht="31.5" hidden="false" customHeight="true" outlineLevel="0" collapsed="false">
      <c r="A38" s="9" t="n">
        <v>16</v>
      </c>
      <c r="B38" s="10" t="s">
        <v>49</v>
      </c>
      <c r="C38" s="11" t="s">
        <v>10</v>
      </c>
      <c r="D38" s="12" t="n">
        <f aca="false">IF(C38="YES",1,0)</f>
        <v>0</v>
      </c>
      <c r="E38" s="13" t="s">
        <v>50</v>
      </c>
    </row>
    <row r="39" customFormat="false" ht="21.75" hidden="false" customHeight="true" outlineLevel="0" collapsed="false">
      <c r="A39" s="14"/>
      <c r="B39" s="15" t="s">
        <v>51</v>
      </c>
      <c r="C39" s="16" t="n">
        <f aca="false">SUM(D35:D38)</f>
        <v>0</v>
      </c>
      <c r="D39" s="17" t="str">
        <f aca="false">IF(SUM(D35:D38)&gt;=3,"HEALTHY",IF(SUM(D35:D38)&gt;=2,"WARNING","CRITICAL"))</f>
        <v>CRITICAL</v>
      </c>
      <c r="E39" s="14"/>
    </row>
    <row r="40" customFormat="false" ht="7.5" hidden="false" customHeight="true" outlineLevel="0" collapsed="false">
      <c r="A40" s="4"/>
      <c r="B40" s="4"/>
      <c r="C40" s="4"/>
      <c r="D40" s="4"/>
      <c r="E40" s="4"/>
    </row>
    <row r="41" customFormat="false" ht="19.5" hidden="false" customHeight="true" outlineLevel="0" collapsed="false">
      <c r="A41" s="5" t="s">
        <v>52</v>
      </c>
      <c r="B41" s="5"/>
      <c r="C41" s="5"/>
      <c r="D41" s="5"/>
      <c r="E41" s="5"/>
    </row>
    <row r="42" customFormat="false" ht="15.75" hidden="false" customHeight="true" outlineLevel="0" collapsed="false">
      <c r="B42" s="6" t="s">
        <v>53</v>
      </c>
      <c r="C42" s="6"/>
      <c r="D42" s="6"/>
      <c r="E42" s="6"/>
    </row>
    <row r="43" customFormat="false" ht="18" hidden="false" customHeight="true" outlineLevel="0" collapsed="false">
      <c r="A43" s="7"/>
      <c r="B43" s="8" t="s">
        <v>5</v>
      </c>
      <c r="C43" s="8" t="s">
        <v>6</v>
      </c>
      <c r="D43" s="8" t="s">
        <v>7</v>
      </c>
      <c r="E43" s="8" t="s">
        <v>8</v>
      </c>
    </row>
    <row r="44" customFormat="false" ht="31.5" hidden="false" customHeight="true" outlineLevel="0" collapsed="false">
      <c r="A44" s="9" t="n">
        <v>17</v>
      </c>
      <c r="B44" s="10" t="s">
        <v>54</v>
      </c>
      <c r="C44" s="11" t="s">
        <v>10</v>
      </c>
      <c r="D44" s="12" t="n">
        <f aca="false">IF(C44="YES",1,0)</f>
        <v>0</v>
      </c>
      <c r="E44" s="13" t="s">
        <v>55</v>
      </c>
    </row>
    <row r="45" customFormat="false" ht="31.5" hidden="false" customHeight="true" outlineLevel="0" collapsed="false">
      <c r="A45" s="9" t="n">
        <v>18</v>
      </c>
      <c r="B45" s="10" t="s">
        <v>56</v>
      </c>
      <c r="C45" s="11" t="s">
        <v>10</v>
      </c>
      <c r="D45" s="12" t="n">
        <f aca="false">IF(C45="YES",1,0)</f>
        <v>0</v>
      </c>
      <c r="E45" s="13" t="s">
        <v>57</v>
      </c>
    </row>
    <row r="46" customFormat="false" ht="31.5" hidden="false" customHeight="true" outlineLevel="0" collapsed="false">
      <c r="A46" s="9" t="n">
        <v>19</v>
      </c>
      <c r="B46" s="10" t="s">
        <v>58</v>
      </c>
      <c r="C46" s="11" t="s">
        <v>10</v>
      </c>
      <c r="D46" s="12" t="n">
        <f aca="false">IF(C46="YES",1,0)</f>
        <v>0</v>
      </c>
      <c r="E46" s="13" t="s">
        <v>59</v>
      </c>
    </row>
    <row r="47" customFormat="false" ht="31.5" hidden="false" customHeight="true" outlineLevel="0" collapsed="false">
      <c r="A47" s="9" t="n">
        <v>20</v>
      </c>
      <c r="B47" s="10" t="s">
        <v>60</v>
      </c>
      <c r="C47" s="11" t="s">
        <v>10</v>
      </c>
      <c r="D47" s="12" t="n">
        <f aca="false">IF(C47="YES",1,0)</f>
        <v>0</v>
      </c>
      <c r="E47" s="13" t="s">
        <v>61</v>
      </c>
    </row>
    <row r="48" customFormat="false" ht="21.75" hidden="false" customHeight="true" outlineLevel="0" collapsed="false">
      <c r="A48" s="14"/>
      <c r="B48" s="15" t="s">
        <v>62</v>
      </c>
      <c r="C48" s="16" t="n">
        <f aca="false">SUM(D44:D47)</f>
        <v>0</v>
      </c>
      <c r="D48" s="17" t="str">
        <f aca="false">IF(SUM(D44:D47)&gt;=3,"HEALTHY",IF(SUM(D44:D47)&gt;=2,"WARNING","CRITICAL"))</f>
        <v>CRITICAL</v>
      </c>
      <c r="E48" s="14"/>
    </row>
    <row r="49" customFormat="false" ht="7.5" hidden="false" customHeight="true" outlineLevel="0" collapsed="false">
      <c r="A49" s="4"/>
      <c r="B49" s="4"/>
      <c r="C49" s="4"/>
      <c r="D49" s="4"/>
      <c r="E49" s="4"/>
    </row>
    <row r="50" customFormat="false" ht="24" hidden="false" customHeight="true" outlineLevel="0" collapsed="false">
      <c r="A50" s="18" t="s">
        <v>63</v>
      </c>
      <c r="B50" s="18"/>
      <c r="C50" s="18"/>
      <c r="D50" s="18"/>
      <c r="E50" s="18"/>
    </row>
    <row r="51" customFormat="false" ht="19.5" hidden="false" customHeight="true" outlineLevel="0" collapsed="false">
      <c r="A51" s="7"/>
      <c r="B51" s="19" t="s">
        <v>64</v>
      </c>
      <c r="C51" s="20" t="n">
        <f aca="false">C12</f>
        <v>0</v>
      </c>
      <c r="D51" s="21" t="str">
        <f aca="false">D12</f>
        <v>CRITICAL</v>
      </c>
      <c r="E51" s="7"/>
    </row>
    <row r="52" customFormat="false" ht="19.5" hidden="false" customHeight="true" outlineLevel="0" collapsed="false">
      <c r="A52" s="7"/>
      <c r="B52" s="19" t="s">
        <v>65</v>
      </c>
      <c r="C52" s="20" t="n">
        <f aca="false">C21</f>
        <v>0</v>
      </c>
      <c r="D52" s="21" t="str">
        <f aca="false">D21</f>
        <v>CRITICAL</v>
      </c>
      <c r="E52" s="7"/>
    </row>
    <row r="53" customFormat="false" ht="19.5" hidden="false" customHeight="true" outlineLevel="0" collapsed="false">
      <c r="A53" s="7"/>
      <c r="B53" s="19" t="s">
        <v>66</v>
      </c>
      <c r="C53" s="20" t="n">
        <f aca="false">C30</f>
        <v>0</v>
      </c>
      <c r="D53" s="21" t="str">
        <f aca="false">D30</f>
        <v>CRITICAL</v>
      </c>
      <c r="E53" s="7"/>
    </row>
    <row r="54" customFormat="false" ht="19.5" hidden="false" customHeight="true" outlineLevel="0" collapsed="false">
      <c r="A54" s="7"/>
      <c r="B54" s="19" t="s">
        <v>67</v>
      </c>
      <c r="C54" s="20" t="n">
        <f aca="false">C39</f>
        <v>0</v>
      </c>
      <c r="D54" s="21" t="str">
        <f aca="false">D39</f>
        <v>CRITICAL</v>
      </c>
      <c r="E54" s="7"/>
    </row>
    <row r="55" customFormat="false" ht="19.5" hidden="false" customHeight="true" outlineLevel="0" collapsed="false">
      <c r="A55" s="7"/>
      <c r="B55" s="19" t="s">
        <v>68</v>
      </c>
      <c r="C55" s="20" t="n">
        <f aca="false">C48</f>
        <v>0</v>
      </c>
      <c r="D55" s="21" t="str">
        <f aca="false">D48</f>
        <v>CRITICAL</v>
      </c>
      <c r="E55" s="7"/>
    </row>
    <row r="56" customFormat="false" ht="24" hidden="false" customHeight="true" outlineLevel="0" collapsed="false">
      <c r="A56" s="22" t="s">
        <v>69</v>
      </c>
      <c r="B56" s="22"/>
      <c r="C56" s="22"/>
      <c r="D56" s="23" t="n">
        <f aca="false">C12+C21+C30+C39+C48</f>
        <v>0</v>
      </c>
      <c r="E56" s="24"/>
    </row>
    <row r="57" customFormat="false" ht="15.75" hidden="false" customHeight="true" outlineLevel="0" collapsed="false">
      <c r="A57" s="25" t="s">
        <v>70</v>
      </c>
      <c r="B57" s="25"/>
      <c r="C57" s="25"/>
      <c r="D57" s="25"/>
      <c r="E57" s="25"/>
    </row>
  </sheetData>
  <mergeCells count="16">
    <mergeCell ref="A1:E1"/>
    <mergeCell ref="A2:E2"/>
    <mergeCell ref="A3:E3"/>
    <mergeCell ref="A5:E5"/>
    <mergeCell ref="B6:E6"/>
    <mergeCell ref="A14:E14"/>
    <mergeCell ref="B15:E15"/>
    <mergeCell ref="A23:E23"/>
    <mergeCell ref="B24:E24"/>
    <mergeCell ref="A32:E32"/>
    <mergeCell ref="B33:E33"/>
    <mergeCell ref="A41:E41"/>
    <mergeCell ref="B42:E42"/>
    <mergeCell ref="A50:E50"/>
    <mergeCell ref="A56:C56"/>
    <mergeCell ref="A57:E57"/>
  </mergeCells>
  <dataValidations count="5">
    <dataValidation allowBlank="false" errorStyle="stop" operator="between" showDropDown="false" showErrorMessage="false" showInputMessage="false" sqref="C8:C11" type="list">
      <formula1>"YES,NO"</formula1>
      <formula2>0</formula2>
    </dataValidation>
    <dataValidation allowBlank="false" errorStyle="stop" operator="between" showDropDown="false" showErrorMessage="false" showInputMessage="false" sqref="C17:C20" type="list">
      <formula1>"YES,NO"</formula1>
      <formula2>0</formula2>
    </dataValidation>
    <dataValidation allowBlank="false" errorStyle="stop" operator="between" showDropDown="false" showErrorMessage="false" showInputMessage="false" sqref="C26:C29" type="list">
      <formula1>"YES,NO"</formula1>
      <formula2>0</formula2>
    </dataValidation>
    <dataValidation allowBlank="false" errorStyle="stop" operator="between" showDropDown="false" showErrorMessage="false" showInputMessage="false" sqref="C35:C38" type="list">
      <formula1>"YES,NO"</formula1>
      <formula2>0</formula2>
    </dataValidation>
    <dataValidation allowBlank="false" errorStyle="stop" operator="between" showDropDown="false" showErrorMessage="false" showInputMessage="false" sqref="C44:C4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28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1" t="s">
        <v>71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72</v>
      </c>
      <c r="B2" s="2"/>
      <c r="C2" s="2"/>
      <c r="D2" s="2"/>
      <c r="E2" s="2"/>
    </row>
    <row r="3" customFormat="false" ht="18" hidden="false" customHeight="true" outlineLevel="0" collapsed="false">
      <c r="A3" s="26" t="s">
        <v>73</v>
      </c>
      <c r="B3" s="26"/>
      <c r="C3" s="26"/>
      <c r="D3" s="26"/>
      <c r="E3" s="26"/>
    </row>
    <row r="4" customFormat="false" ht="18" hidden="false" customHeight="true" outlineLevel="0" collapsed="false">
      <c r="A4" s="27" t="s">
        <v>74</v>
      </c>
    </row>
    <row r="5" customFormat="false" ht="18" hidden="false" customHeight="true" outlineLevel="0" collapsed="false">
      <c r="A5" s="28" t="str">
        <f aca="false">'Org Vitals Diagnostic'!D12</f>
        <v>CRITICAL</v>
      </c>
      <c r="B5" s="27" t="s">
        <v>75</v>
      </c>
    </row>
    <row r="6" customFormat="false" ht="18" hidden="false" customHeight="true" outlineLevel="0" collapsed="false">
      <c r="B6" s="28" t="str">
        <f aca="false">'Org Vitals Diagnostic'!D21</f>
        <v>CRITICAL</v>
      </c>
      <c r="C6" s="27" t="s">
        <v>76</v>
      </c>
    </row>
    <row r="7" customFormat="false" ht="18" hidden="false" customHeight="true" outlineLevel="0" collapsed="false">
      <c r="C7" s="28" t="str">
        <f aca="false">'Org Vitals Diagnostic'!D30</f>
        <v>CRITICAL</v>
      </c>
      <c r="D7" s="27" t="s">
        <v>77</v>
      </c>
    </row>
    <row r="8" customFormat="false" ht="19.5" hidden="false" customHeight="true" outlineLevel="0" collapsed="false">
      <c r="A8" s="29" t="s">
        <v>78</v>
      </c>
      <c r="B8" s="29"/>
      <c r="C8" s="29"/>
      <c r="D8" s="29"/>
      <c r="E8" s="29"/>
    </row>
    <row r="9" customFormat="false" ht="18" hidden="false" customHeight="true" outlineLevel="0" collapsed="false">
      <c r="A9" s="30" t="s">
        <v>79</v>
      </c>
      <c r="B9" s="30" t="s">
        <v>80</v>
      </c>
      <c r="C9" s="30" t="s">
        <v>81</v>
      </c>
      <c r="D9" s="30" t="s">
        <v>82</v>
      </c>
      <c r="E9" s="30" t="s">
        <v>83</v>
      </c>
    </row>
    <row r="10" customFormat="false" ht="36" hidden="false" customHeight="true" outlineLevel="0" collapsed="false">
      <c r="A10" s="31" t="s">
        <v>84</v>
      </c>
      <c r="B10" s="10" t="s">
        <v>85</v>
      </c>
      <c r="C10" s="32" t="s">
        <v>86</v>
      </c>
      <c r="D10" s="33" t="s">
        <v>87</v>
      </c>
      <c r="E10" s="34" t="s">
        <v>88</v>
      </c>
    </row>
    <row r="11" customFormat="false" ht="36" hidden="false" customHeight="true" outlineLevel="0" collapsed="false">
      <c r="A11" s="34" t="s">
        <v>89</v>
      </c>
      <c r="B11" s="10" t="s">
        <v>90</v>
      </c>
      <c r="C11" s="32" t="s">
        <v>91</v>
      </c>
      <c r="D11" s="33" t="s">
        <v>92</v>
      </c>
      <c r="E11" s="34" t="s">
        <v>93</v>
      </c>
    </row>
    <row r="12" customFormat="false" ht="36" hidden="false" customHeight="true" outlineLevel="0" collapsed="false">
      <c r="A12" s="34" t="s">
        <v>94</v>
      </c>
      <c r="B12" s="10" t="s">
        <v>95</v>
      </c>
      <c r="C12" s="32" t="s">
        <v>96</v>
      </c>
      <c r="D12" s="33" t="s">
        <v>97</v>
      </c>
      <c r="E12" s="34" t="s">
        <v>98</v>
      </c>
    </row>
    <row r="13" customFormat="false" ht="36" hidden="false" customHeight="true" outlineLevel="0" collapsed="false">
      <c r="A13" s="35" t="s">
        <v>99</v>
      </c>
      <c r="B13" s="10" t="s">
        <v>100</v>
      </c>
      <c r="C13" s="32" t="s">
        <v>101</v>
      </c>
      <c r="D13" s="33" t="s">
        <v>102</v>
      </c>
      <c r="E13" s="34" t="s">
        <v>103</v>
      </c>
    </row>
    <row r="14" customFormat="false" ht="36" hidden="false" customHeight="true" outlineLevel="0" collapsed="false">
      <c r="A14" s="34" t="s">
        <v>104</v>
      </c>
      <c r="B14" s="10" t="s">
        <v>105</v>
      </c>
      <c r="C14" s="32" t="s">
        <v>106</v>
      </c>
      <c r="D14" s="33" t="s">
        <v>107</v>
      </c>
      <c r="E14" s="34" t="s">
        <v>103</v>
      </c>
    </row>
    <row r="15" customFormat="false" ht="36" hidden="false" customHeight="true" outlineLevel="0" collapsed="false">
      <c r="A15" s="36" t="s">
        <v>108</v>
      </c>
      <c r="B15" s="10" t="s">
        <v>109</v>
      </c>
      <c r="C15" s="32" t="s">
        <v>110</v>
      </c>
      <c r="D15" s="33" t="s">
        <v>111</v>
      </c>
      <c r="E15" s="34" t="s">
        <v>98</v>
      </c>
    </row>
    <row r="16" customFormat="false" ht="36" hidden="false" customHeight="true" outlineLevel="0" collapsed="false">
      <c r="A16" s="37" t="s">
        <v>112</v>
      </c>
      <c r="B16" s="10" t="s">
        <v>113</v>
      </c>
      <c r="C16" s="32" t="s">
        <v>114</v>
      </c>
      <c r="D16" s="33" t="s">
        <v>115</v>
      </c>
      <c r="E16" s="34" t="s">
        <v>93</v>
      </c>
    </row>
    <row r="17" customFormat="false" ht="36" hidden="false" customHeight="true" outlineLevel="0" collapsed="false">
      <c r="A17" s="35" t="s">
        <v>116</v>
      </c>
      <c r="B17" s="10" t="s">
        <v>117</v>
      </c>
      <c r="C17" s="32" t="s">
        <v>118</v>
      </c>
      <c r="D17" s="33" t="s">
        <v>119</v>
      </c>
      <c r="E17" s="35" t="s">
        <v>120</v>
      </c>
    </row>
  </sheetData>
  <mergeCells count="4">
    <mergeCell ref="A1:E1"/>
    <mergeCell ref="A2:E2"/>
    <mergeCell ref="A3:E3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38" t="s">
        <v>121</v>
      </c>
      <c r="B1" s="38"/>
      <c r="C1" s="38"/>
      <c r="D1" s="38"/>
      <c r="E1" s="38"/>
      <c r="F1" s="38"/>
      <c r="G1" s="38"/>
    </row>
    <row r="2" customFormat="false" ht="15" hidden="false" customHeight="false" outlineLevel="0" collapsed="false">
      <c r="A2" s="2" t="s">
        <v>122</v>
      </c>
      <c r="B2" s="2"/>
      <c r="C2" s="2"/>
      <c r="D2" s="2"/>
      <c r="E2" s="2"/>
      <c r="F2" s="2"/>
      <c r="G2" s="2"/>
    </row>
    <row r="3" customFormat="false" ht="13.5" hidden="false" customHeight="true" outlineLevel="0" collapsed="false">
      <c r="A3" s="3" t="s">
        <v>123</v>
      </c>
      <c r="B3" s="3"/>
      <c r="C3" s="3"/>
      <c r="D3" s="3"/>
      <c r="E3" s="3"/>
      <c r="F3" s="3"/>
      <c r="G3" s="3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</row>
    <row r="5" customFormat="false" ht="19.5" hidden="false" customHeight="true" outlineLevel="0" collapsed="false">
      <c r="A5" s="7"/>
      <c r="B5" s="39" t="s">
        <v>124</v>
      </c>
      <c r="C5" s="39" t="s">
        <v>125</v>
      </c>
      <c r="D5" s="39" t="s">
        <v>126</v>
      </c>
      <c r="E5" s="39" t="s">
        <v>127</v>
      </c>
      <c r="F5" s="39" t="s">
        <v>128</v>
      </c>
      <c r="G5" s="39" t="s">
        <v>129</v>
      </c>
    </row>
    <row r="6" customFormat="false" ht="27.75" hidden="false" customHeight="true" outlineLevel="0" collapsed="false">
      <c r="A6" s="40" t="n">
        <v>1</v>
      </c>
      <c r="B6" s="10" t="s">
        <v>130</v>
      </c>
      <c r="C6" s="41" t="s">
        <v>74</v>
      </c>
      <c r="D6" s="42" t="n">
        <v>8000</v>
      </c>
      <c r="E6" s="42" t="n">
        <v>45000</v>
      </c>
      <c r="F6" s="11" t="s">
        <v>10</v>
      </c>
      <c r="G6" s="43" t="n">
        <f aca="false">IF(F6="YES",E6-D6,0)</f>
        <v>0</v>
      </c>
    </row>
    <row r="7" customFormat="false" ht="27.75" hidden="false" customHeight="true" outlineLevel="0" collapsed="false">
      <c r="A7" s="40" t="n">
        <v>2</v>
      </c>
      <c r="B7" s="10" t="s">
        <v>131</v>
      </c>
      <c r="C7" s="41" t="s">
        <v>74</v>
      </c>
      <c r="D7" s="42" t="n">
        <v>3000</v>
      </c>
      <c r="E7" s="42" t="n">
        <v>28000</v>
      </c>
      <c r="F7" s="11" t="s">
        <v>10</v>
      </c>
      <c r="G7" s="43" t="n">
        <f aca="false">IF(F7="YES",E7-D7,0)</f>
        <v>0</v>
      </c>
    </row>
    <row r="8" customFormat="false" ht="27.75" hidden="false" customHeight="true" outlineLevel="0" collapsed="false">
      <c r="A8" s="40" t="n">
        <v>3</v>
      </c>
      <c r="B8" s="10" t="s">
        <v>132</v>
      </c>
      <c r="C8" s="41" t="s">
        <v>75</v>
      </c>
      <c r="D8" s="42" t="n">
        <v>12000</v>
      </c>
      <c r="E8" s="42" t="n">
        <v>65000</v>
      </c>
      <c r="F8" s="11" t="s">
        <v>10</v>
      </c>
      <c r="G8" s="43" t="n">
        <f aca="false">IF(F8="YES",E8-D8,0)</f>
        <v>0</v>
      </c>
    </row>
    <row r="9" customFormat="false" ht="27.75" hidden="false" customHeight="true" outlineLevel="0" collapsed="false">
      <c r="A9" s="40" t="n">
        <v>4</v>
      </c>
      <c r="B9" s="10" t="s">
        <v>133</v>
      </c>
      <c r="C9" s="41" t="s">
        <v>75</v>
      </c>
      <c r="D9" s="42" t="n">
        <v>4000</v>
      </c>
      <c r="E9" s="42" t="n">
        <v>35000</v>
      </c>
      <c r="F9" s="11" t="s">
        <v>10</v>
      </c>
      <c r="G9" s="43" t="n">
        <f aca="false">IF(F9="YES",E9-D9,0)</f>
        <v>0</v>
      </c>
    </row>
    <row r="10" customFormat="false" ht="27.75" hidden="false" customHeight="true" outlineLevel="0" collapsed="false">
      <c r="A10" s="40" t="n">
        <v>5</v>
      </c>
      <c r="B10" s="10" t="s">
        <v>134</v>
      </c>
      <c r="C10" s="41" t="s">
        <v>76</v>
      </c>
      <c r="D10" s="42" t="n">
        <v>18000</v>
      </c>
      <c r="E10" s="42" t="n">
        <v>92000</v>
      </c>
      <c r="F10" s="11" t="s">
        <v>10</v>
      </c>
      <c r="G10" s="43" t="n">
        <f aca="false">IF(F10="YES",E10-D10,0)</f>
        <v>0</v>
      </c>
    </row>
    <row r="11" customFormat="false" ht="27.75" hidden="false" customHeight="true" outlineLevel="0" collapsed="false">
      <c r="A11" s="40" t="n">
        <v>6</v>
      </c>
      <c r="B11" s="10" t="s">
        <v>135</v>
      </c>
      <c r="C11" s="41" t="s">
        <v>76</v>
      </c>
      <c r="D11" s="42" t="n">
        <v>5000</v>
      </c>
      <c r="E11" s="42" t="n">
        <v>48000</v>
      </c>
      <c r="F11" s="11" t="s">
        <v>10</v>
      </c>
      <c r="G11" s="43" t="n">
        <f aca="false">IF(F11="YES",E11-D11,0)</f>
        <v>0</v>
      </c>
    </row>
    <row r="12" customFormat="false" ht="27.75" hidden="false" customHeight="true" outlineLevel="0" collapsed="false">
      <c r="A12" s="40" t="n">
        <v>7</v>
      </c>
      <c r="B12" s="10" t="s">
        <v>136</v>
      </c>
      <c r="C12" s="41" t="s">
        <v>77</v>
      </c>
      <c r="D12" s="42" t="n">
        <v>15000</v>
      </c>
      <c r="E12" s="42" t="n">
        <v>78000</v>
      </c>
      <c r="F12" s="11" t="s">
        <v>10</v>
      </c>
      <c r="G12" s="43" t="n">
        <f aca="false">IF(F12="YES",E12-D12,0)</f>
        <v>0</v>
      </c>
    </row>
    <row r="13" customFormat="false" ht="27.75" hidden="false" customHeight="true" outlineLevel="0" collapsed="false">
      <c r="A13" s="40" t="n">
        <v>8</v>
      </c>
      <c r="B13" s="10" t="s">
        <v>137</v>
      </c>
      <c r="C13" s="41" t="s">
        <v>77</v>
      </c>
      <c r="D13" s="42" t="n">
        <v>6000</v>
      </c>
      <c r="E13" s="42" t="n">
        <v>32000</v>
      </c>
      <c r="F13" s="11" t="s">
        <v>10</v>
      </c>
      <c r="G13" s="43" t="n">
        <f aca="false">IF(F13="YES",E13-D13,0)</f>
        <v>0</v>
      </c>
    </row>
    <row r="14" customFormat="false" ht="27.75" hidden="false" customHeight="true" outlineLevel="0" collapsed="false">
      <c r="A14" s="40" t="n">
        <v>9</v>
      </c>
      <c r="B14" s="10" t="s">
        <v>138</v>
      </c>
      <c r="C14" s="41" t="s">
        <v>139</v>
      </c>
      <c r="D14" s="42" t="n">
        <v>22000</v>
      </c>
      <c r="E14" s="42" t="n">
        <v>85000</v>
      </c>
      <c r="F14" s="11" t="s">
        <v>10</v>
      </c>
      <c r="G14" s="43" t="n">
        <f aca="false">IF(F14="YES",E14-D14,0)</f>
        <v>0</v>
      </c>
    </row>
    <row r="15" customFormat="false" ht="27.75" hidden="false" customHeight="true" outlineLevel="0" collapsed="false">
      <c r="A15" s="40" t="n">
        <v>10</v>
      </c>
      <c r="B15" s="10" t="s">
        <v>140</v>
      </c>
      <c r="C15" s="41" t="s">
        <v>139</v>
      </c>
      <c r="D15" s="42" t="n">
        <v>8000</v>
      </c>
      <c r="E15" s="42" t="n">
        <v>42000</v>
      </c>
      <c r="F15" s="11" t="s">
        <v>10</v>
      </c>
      <c r="G15" s="43" t="n">
        <f aca="false">IF(F15="YES",E15-D15,0)</f>
        <v>0</v>
      </c>
    </row>
    <row r="16" customFormat="false" ht="27.75" hidden="false" customHeight="true" outlineLevel="0" collapsed="false">
      <c r="A16" s="40" t="n">
        <v>11</v>
      </c>
      <c r="B16" s="10" t="s">
        <v>141</v>
      </c>
      <c r="C16" s="41" t="s">
        <v>139</v>
      </c>
      <c r="D16" s="42" t="n">
        <v>14000</v>
      </c>
      <c r="E16" s="42" t="n">
        <v>68000</v>
      </c>
      <c r="F16" s="11" t="s">
        <v>10</v>
      </c>
      <c r="G16" s="43" t="n">
        <f aca="false">IF(F16="YES",E16-D16,0)</f>
        <v>0</v>
      </c>
    </row>
    <row r="17" customFormat="false" ht="7.5" hidden="false" customHeight="true" outlineLevel="0" collapsed="false">
      <c r="A17" s="4"/>
      <c r="B17" s="4"/>
      <c r="C17" s="4"/>
      <c r="D17" s="4"/>
      <c r="E17" s="4"/>
      <c r="F17" s="4"/>
      <c r="G17" s="4"/>
    </row>
    <row r="18" customFormat="false" ht="24" hidden="false" customHeight="true" outlineLevel="0" collapsed="false">
      <c r="A18" s="22" t="s">
        <v>142</v>
      </c>
      <c r="B18" s="22"/>
      <c r="C18" s="22"/>
      <c r="D18" s="22"/>
      <c r="E18" s="22"/>
      <c r="F18" s="22"/>
      <c r="G18" s="44" t="n">
        <f aca="false">IF(F6="YES",D6,0)+IF(F7="YES",D7,0)+IF(F8="YES",D8,0)+IF(F9="YES",D9,0)+IF(F10="YES",D10,0)+IF(F11="YES",D11,0)+IF(F12="YES",D12,0)+IF(F13="YES",D13,0)+IF(F14="YES",D14,0)+IF(F15="YES",D15,0)+IF(F16="YES",D16,0)</f>
        <v>0</v>
      </c>
    </row>
    <row r="19" customFormat="false" ht="24" hidden="false" customHeight="true" outlineLevel="0" collapsed="false">
      <c r="A19" s="45" t="s">
        <v>143</v>
      </c>
      <c r="B19" s="45"/>
      <c r="C19" s="45"/>
      <c r="D19" s="45"/>
      <c r="E19" s="45"/>
      <c r="F19" s="45"/>
      <c r="G19" s="46" t="n">
        <f aca="false">IF(F6="YES",E6,0)+IF(F7="YES",E7,0)+IF(F8="YES",E8,0)+IF(F9="YES",E9,0)+IF(F10="YES",E10,0)+IF(F11="YES",E11,0)+IF(F12="YES",E12,0)+IF(F13="YES",E13,0)+IF(F14="YES",E14,0)+IF(F15="YES",E15,0)+IF(F16="YES",E16,0)</f>
        <v>0</v>
      </c>
    </row>
    <row r="20" customFormat="false" ht="24" hidden="false" customHeight="true" outlineLevel="0" collapsed="false">
      <c r="A20" s="47" t="s">
        <v>144</v>
      </c>
      <c r="B20" s="47"/>
      <c r="C20" s="47"/>
      <c r="D20" s="47"/>
      <c r="E20" s="47"/>
      <c r="F20" s="47"/>
      <c r="G20" s="48" t="n">
        <f aca="false">G6+G7+G8+G9+G10+G11+G12+G13+G14+G15+G16</f>
        <v>0</v>
      </c>
    </row>
    <row r="21" customFormat="false" ht="24" hidden="false" customHeight="true" outlineLevel="0" collapsed="false">
      <c r="A21" s="49" t="s">
        <v>145</v>
      </c>
      <c r="B21" s="49"/>
      <c r="C21" s="49"/>
      <c r="D21" s="49"/>
      <c r="E21" s="49"/>
      <c r="F21" s="49"/>
      <c r="G21" s="50" t="n">
        <f aca="false">IF(IF(F6="YES",D6,0)+IF(F7="YES",D7,0)+IF(F8="YES",D8,0)+IF(F9="YES",D9,0)+IF(F10="YES",D10,0)+IF(F11="YES",D11,0)+IF(F12="YES",D12,0)+IF(F13="YES",D13,0)+IF(F14="YES",D14,0)+IF(F15="YES",D15,0)+IF(F16="YES",D16,0)&gt;0,IF(F6="YES",E6,0)+IF(F7="YES",E7,0)+IF(F8="YES",E8,0)+IF(F9="YES",E9,0)+IF(F10="YES",E10,0)+IF(F11="YES",E11,0)+IF(F12="YES",E12,0)+IF(F13="YES",E13,0)+IF(F14="YES",E14,0)+IF(F15="YES",E15,0)+IF(F16="YES",E16,0)/IF(F6="YES",D6,0)+IF(F7="YES",D7,0)+IF(F8="YES",D8,0)+IF(F9="YES",D9,0)+IF(F10="YES",D10,0)+IF(F11="YES",D11,0)+IF(F12="YES",D12,0)+IF(F13="YES",D13,0)+IF(F14="YES",D14,0)+IF(F15="YES",D15,0)+IF(F16="YES",D16,0),0)</f>
        <v>0</v>
      </c>
    </row>
    <row r="23" customFormat="false" ht="27.75" hidden="false" customHeight="true" outlineLevel="0" collapsed="false">
      <c r="A23" s="51" t="s">
        <v>146</v>
      </c>
      <c r="B23" s="51"/>
      <c r="C23" s="51"/>
      <c r="D23" s="51"/>
      <c r="E23" s="51"/>
      <c r="F23" s="51"/>
      <c r="G23" s="51"/>
    </row>
  </sheetData>
  <mergeCells count="8">
    <mergeCell ref="A1:G1"/>
    <mergeCell ref="A2:G2"/>
    <mergeCell ref="A3:G3"/>
    <mergeCell ref="A18:F18"/>
    <mergeCell ref="A19:F19"/>
    <mergeCell ref="A20:F20"/>
    <mergeCell ref="A21:F21"/>
    <mergeCell ref="A23:G23"/>
  </mergeCells>
  <dataValidations count="1">
    <dataValidation allowBlank="false" errorStyle="stop" operator="between" showDropDown="false" showErrorMessage="false" showInputMessage="false" sqref="F6:F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2026-06-08T08:31:03Z</dcterms:created>
  <dc:creator>openpyxl</dc:creator>
  <dc:description/>
  <dc:language>en-US</dc:language>
  <cp:lastModifiedBy/>
  <dcterms:modified xsi:type="dcterms:W3CDTF">2026-06-08T08:31:03Z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