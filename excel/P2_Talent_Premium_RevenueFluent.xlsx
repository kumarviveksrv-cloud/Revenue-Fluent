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ormance Premium" sheetId="1" state="visible" r:id="rId3"/>
    <sheet name="Retention Quality Premium" sheetId="2" state="visible" r:id="rId4"/>
    <sheet name="Hiring Quality Premium" sheetId="3" state="visible" r:id="rId5"/>
    <sheet name="TQP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<sst xmlns="http://schemas.openxmlformats.org/spreadsheetml/2006/main" count="120" uniqueCount="89">
  <si>
    <t xml:space="preserve">THE TALENT PREMIUM — Performance Premium</t>
  </si>
  <si>
    <t xml:space="preserve">How much value does above-benchmark performance create? Enter your headcount and salary data.</t>
  </si>
  <si>
    <t xml:space="preserve">BLUE = inputs  |  BLACK = formulas  |  Source: Revenue Fluent 2026</t>
  </si>
  <si>
    <t xml:space="preserve">FORMULA: Σ(actual perf score − grade benchmark) × salary  =  Performance Premium</t>
  </si>
  <si>
    <t xml:space="preserve">#</t>
  </si>
  <si>
    <t xml:space="preserve">EMPLOYEE / ROLE</t>
  </si>
  <si>
    <t xml:space="preserve">GRADE BENCHMARK</t>
  </si>
  <si>
    <t xml:space="preserve">ACTUAL PERF SCORE</t>
  </si>
  <si>
    <t xml:space="preserve">SALARY</t>
  </si>
  <si>
    <t xml:space="preserve">PERF SURPLUS × SALARY</t>
  </si>
  <si>
    <t xml:space="preserve">NOTES</t>
  </si>
  <si>
    <t xml:space="preserve">Employee 1 — enter name/role</t>
  </si>
  <si>
    <t xml:space="preserve">Optional note</t>
  </si>
  <si>
    <t xml:space="preserve">Employee 2 — enter name/role</t>
  </si>
  <si>
    <t xml:space="preserve">Employee 3 — enter name/role</t>
  </si>
  <si>
    <t xml:space="preserve">Employee 4 — enter name/role</t>
  </si>
  <si>
    <t xml:space="preserve">Employee 5 — enter name/role</t>
  </si>
  <si>
    <t xml:space="preserve">Employee 6 — enter name/role</t>
  </si>
  <si>
    <t xml:space="preserve">Employee 7 — enter name/role</t>
  </si>
  <si>
    <t xml:space="preserve">Employee 8 — enter name/role</t>
  </si>
  <si>
    <t xml:space="preserve">Employee 9 — enter name/role</t>
  </si>
  <si>
    <t xml:space="preserve">Employee 10 — enter name/role</t>
  </si>
  <si>
    <t xml:space="preserve">TOTAL PERFORMANCE PREMIUM</t>
  </si>
  <si>
    <t xml:space="preserve">PERFORMANCE PREMIUM AS % OF COMP BASE</t>
  </si>
  <si>
    <t xml:space="preserve">THE TALENT PREMIUM — Retention Quality Premium</t>
  </si>
  <si>
    <t xml:space="preserve">What is the financial value of the people you are keeping? Stars, HiPos, High Performers.</t>
  </si>
  <si>
    <t xml:space="preserve">FORMULA: (Perf surplus × Salary × 0.5) + (Salary × 1.5 × 0.1)  per retained Star/HiPo</t>
  </si>
  <si>
    <t xml:space="preserve">EMPLOYEE NAME</t>
  </si>
  <si>
    <t xml:space="preserve">PLACEMENT</t>
  </si>
  <si>
    <t xml:space="preserve">PERF SURPLUS</t>
  </si>
  <si>
    <t xml:space="preserve">RETENTION PREMIUM</t>
  </si>
  <si>
    <t xml:space="preserve">SOURCE</t>
  </si>
  <si>
    <t xml:space="preserve">Employee 1</t>
  </si>
  <si>
    <t xml:space="preserve">Star</t>
  </si>
  <si>
    <t xml:space="preserve">Perf surplus vs grade avg</t>
  </si>
  <si>
    <t xml:space="preserve">Employee 2</t>
  </si>
  <si>
    <t xml:space="preserve">Employee 3</t>
  </si>
  <si>
    <t xml:space="preserve">High Performer</t>
  </si>
  <si>
    <t xml:space="preserve">Employee 4</t>
  </si>
  <si>
    <t xml:space="preserve">High Potential</t>
  </si>
  <si>
    <t xml:space="preserve">Employee 5</t>
  </si>
  <si>
    <t xml:space="preserve">Employee 6</t>
  </si>
  <si>
    <t xml:space="preserve">Employee 7</t>
  </si>
  <si>
    <t xml:space="preserve">Employee 8</t>
  </si>
  <si>
    <t xml:space="preserve">Employee 9</t>
  </si>
  <si>
    <t xml:space="preserve">Employee 10</t>
  </si>
  <si>
    <t xml:space="preserve">TOTAL RETENTION QUALITY PREMIUM</t>
  </si>
  <si>
    <t xml:space="preserve">RETENTION QUALITY PREMIUM</t>
  </si>
  <si>
    <t xml:space="preserve">THE TALENT PREMIUM — Hiring Quality Premium</t>
  </si>
  <si>
    <t xml:space="preserve">Are your recent hires outperforming the grade benchmark? Employees with ≤1 year tenure.</t>
  </si>
  <si>
    <t xml:space="preserve">FORMULA: Recent hire perf surplus (vs grade benchmark) × salary  |  Positive surplus only</t>
  </si>
  <si>
    <t xml:space="preserve">NOTE: Year-1 performance reflects onboarding and manager quality — not hiring decisions alone. Read as indicator, not verdict.</t>
  </si>
  <si>
    <t xml:space="preserve">TENURE (MONTHS)</t>
  </si>
  <si>
    <t xml:space="preserve">ACTUAL PERF</t>
  </si>
  <si>
    <t xml:space="preserve">HIRING PREMIUM</t>
  </si>
  <si>
    <t xml:space="preserve">New hire 1</t>
  </si>
  <si>
    <t xml:space="preserve">New hire 2</t>
  </si>
  <si>
    <t xml:space="preserve">New hire 3</t>
  </si>
  <si>
    <t xml:space="preserve">New hire 4</t>
  </si>
  <si>
    <t xml:space="preserve">New hire 5</t>
  </si>
  <si>
    <t xml:space="preserve">New hire 6</t>
  </si>
  <si>
    <t xml:space="preserve">New hire 7</t>
  </si>
  <si>
    <t xml:space="preserve">New hire 8</t>
  </si>
  <si>
    <t xml:space="preserve">TOTAL HIRING QUALITY PREMIUM</t>
  </si>
  <si>
    <t xml:space="preserve">TALENT QUALITY PREMIUM — SUMMARY</t>
  </si>
  <si>
    <t xml:space="preserve">The total financial premium of having better-than-average people at the same cost.</t>
  </si>
  <si>
    <t xml:space="preserve">COMPONENT</t>
  </si>
  <si>
    <t xml:space="preserve">VALUE</t>
  </si>
  <si>
    <t xml:space="preserve">Performance Premium</t>
  </si>
  <si>
    <t xml:space="preserve">Source: Performance Premium tab</t>
  </si>
  <si>
    <t xml:space="preserve">Retention Quality Premium</t>
  </si>
  <si>
    <t xml:space="preserve">Source: Retention Quality tab</t>
  </si>
  <si>
    <t xml:space="preserve">Hiring Quality Premium</t>
  </si>
  <si>
    <t xml:space="preserve">Source: Hiring Quality tab</t>
  </si>
  <si>
    <t xml:space="preserve">TOTAL TALENT QUALITY PREMIUM (TQP)</t>
  </si>
  <si>
    <t xml:space="preserve">Auto-calculated</t>
  </si>
  <si>
    <t xml:space="preserve">Total Compensation Base</t>
  </si>
  <si>
    <t xml:space="preserve">Enter your total annual comp base here</t>
  </si>
  <si>
    <t xml:space="preserve">TQP AS % OF COMP BASE</t>
  </si>
  <si>
    <t xml:space="preserve">TQP / Total comp base</t>
  </si>
  <si>
    <t xml:space="preserve">HCI ADJUSTMENT (optional)</t>
  </si>
  <si>
    <t xml:space="preserve">1.00</t>
  </si>
  <si>
    <t xml:space="preserve">Enter your HCI coefficient (0.70 to 1.30)</t>
  </si>
  <si>
    <t xml:space="preserve">TQP — CONSERVATIVE</t>
  </si>
  <si>
    <t xml:space="preserve">HCI - 0.15</t>
  </si>
  <si>
    <t xml:space="preserve">TQP — YOUR ASSESSMENT</t>
  </si>
  <si>
    <t xml:space="preserve">Your HCI applied</t>
  </si>
  <si>
    <t xml:space="preserve">TQP — OPTIMISTIC</t>
  </si>
  <si>
    <t xml:space="preserve">HCI + 0.15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</si>
</sst>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%;\(0.0%\);\-"/>
    <numFmt numFmtId="167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E0B830"/>
      <name val="Arial"/>
      <family val="0"/>
      <charset val="1"/>
    </font>
    <font>
      <i val="true"/>
      <sz val="10"/>
      <color rgb="FFD060B0"/>
      <name val="Arial"/>
      <family val="0"/>
      <charset val="1"/>
    </font>
    <font>
      <sz val="9"/>
      <color rgb="FFC8A8C0"/>
      <name val="Arial"/>
      <family val="0"/>
      <charset val="1"/>
    </font>
    <font>
      <b val="true"/>
      <sz val="9"/>
      <color rgb="FFE8C87A"/>
      <name val="Arial"/>
      <family val="0"/>
      <charset val="1"/>
    </font>
    <font>
      <b val="true"/>
      <sz val="9"/>
      <color rgb="FFD060B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C8A8C0"/>
      <name val="Arial"/>
      <family val="0"/>
      <charset val="1"/>
    </font>
    <font>
      <b val="true"/>
      <sz val="10"/>
      <color rgb="FFEED8E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E0B830"/>
      <name val="Arial"/>
      <family val="0"/>
      <charset val="1"/>
    </font>
    <font>
      <b val="true"/>
      <sz val="12"/>
      <color rgb="FFE0B830"/>
      <name val="Arial"/>
      <family val="0"/>
      <charset val="1"/>
    </font>
    <font>
      <i val="true"/>
      <sz val="8"/>
      <color rgb="FFE05C3A"/>
      <name val="Arial"/>
      <family val="0"/>
      <charset val="1"/>
    </font>
    <font>
      <b val="true"/>
      <sz val="14"/>
      <color rgb="FFE0B830"/>
      <name val="Arial"/>
      <family val="0"/>
      <charset val="1"/>
    </font>
    <font>
      <b val="true"/>
      <sz val="10"/>
      <color rgb="FFD060B0"/>
      <name val="Arial"/>
      <family val="0"/>
      <charset val="1"/>
    </font>
    <font>
      <sz val="10"/>
      <color rgb="FFEED8E8"/>
      <name val="Arial"/>
      <family val="0"/>
      <charset val="1"/>
    </font>
    <font>
      <b val="true"/>
      <sz val="10"/>
      <color rgb="FFE0B830"/>
      <name val="Arial"/>
      <family val="0"/>
      <charset val="1"/>
    </font>
    <font>
      <sz val="10"/>
      <color rgb="FFE8C87A"/>
      <name val="Arial"/>
      <family val="0"/>
      <charset val="1"/>
    </font>
    <font>
      <sz val="10"/>
      <color rgb="FFE0B83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A0608"/>
        <bgColor rgb="FF000000"/>
      </patternFill>
    </fill>
    <fill>
      <patternFill patternType="solid">
        <fgColor rgb="FF220E1A"/>
        <bgColor rgb="FF1A0E18"/>
      </patternFill>
    </fill>
    <fill>
      <patternFill patternType="solid">
        <fgColor rgb="FF1A0E18"/>
        <bgColor rgb="FF180C14"/>
      </patternFill>
    </fill>
    <fill>
      <patternFill patternType="solid">
        <fgColor rgb="FF2A0E22"/>
        <bgColor rgb="FF220E1A"/>
      </patternFill>
    </fill>
    <fill>
      <patternFill patternType="solid">
        <fgColor rgb="FF380820"/>
        <bgColor rgb="FF2A0E22"/>
      </patternFill>
    </fill>
    <fill>
      <patternFill patternType="solid">
        <fgColor rgb="FF180C14"/>
        <bgColor rgb="FF1A0E1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2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80C14"/>
      <rgbColor rgb="FF808000"/>
      <rgbColor rgb="FF800080"/>
      <rgbColor rgb="FF008080"/>
      <rgbColor rgb="FFC8A8C0"/>
      <rgbColor rgb="FF808080"/>
      <rgbColor rgb="FF9999FF"/>
      <rgbColor rgb="FF993366"/>
      <rgbColor rgb="FFFFFFCC"/>
      <rgbColor rgb="FFCCFFFF"/>
      <rgbColor rgb="FF380820"/>
      <rgbColor rgb="FFD060B0"/>
      <rgbColor rgb="FF0066CC"/>
      <rgbColor rgb="FFEED8E8"/>
      <rgbColor rgb="FF0A0608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8C87A"/>
      <rgbColor rgb="FF3366FF"/>
      <rgbColor rgb="FF33CCCC"/>
      <rgbColor rgb="FF99CC00"/>
      <rgbColor rgb="FFE0B830"/>
      <rgbColor rgb="FFFF9900"/>
      <rgbColor rgb="FFE05C3A"/>
      <rgbColor rgb="FF666699"/>
      <rgbColor rgb="FF969696"/>
      <rgbColor rgb="FF003366"/>
      <rgbColor rgb="FF339966"/>
      <rgbColor rgb="FF1A0E18"/>
      <rgbColor rgb="FF220E1A"/>
      <rgbColor rgb="FF993300"/>
      <rgbColor rgb="FF993366"/>
      <rgbColor rgb="FF333399"/>
      <rgbColor rgb="FF2A0E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3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8" hidden="false" customHeight="true" outlineLevel="0" collapsed="false">
      <c r="A4" s="4" t="s">
        <v>3</v>
      </c>
      <c r="B4" s="4"/>
      <c r="C4" s="4"/>
      <c r="D4" s="4"/>
      <c r="E4" s="4"/>
      <c r="F4" s="4"/>
      <c r="G4" s="4"/>
    </row>
    <row r="5" customFormat="false" ht="19.5" hidden="false" customHeight="true" outlineLevel="0" collapsed="false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</row>
    <row r="6" customFormat="false" ht="18" hidden="false" customHeight="true" outlineLevel="0" collapsed="false">
      <c r="A6" s="6" t="n">
        <v>1</v>
      </c>
      <c r="B6" s="7" t="s">
        <v>11</v>
      </c>
      <c r="C6" s="8" t="n">
        <v>3</v>
      </c>
      <c r="D6" s="8" t="n">
        <v>3</v>
      </c>
      <c r="E6" s="9" t="n">
        <v>50000</v>
      </c>
      <c r="F6" s="10" t="n">
        <f aca="false">(D6-C6)*E6</f>
        <v>0</v>
      </c>
      <c r="G6" s="11" t="s">
        <v>12</v>
      </c>
    </row>
    <row r="7" customFormat="false" ht="18" hidden="false" customHeight="true" outlineLevel="0" collapsed="false">
      <c r="A7" s="6" t="n">
        <v>2</v>
      </c>
      <c r="B7" s="7" t="s">
        <v>13</v>
      </c>
      <c r="C7" s="8" t="n">
        <v>3</v>
      </c>
      <c r="D7" s="8" t="n">
        <v>3</v>
      </c>
      <c r="E7" s="9" t="n">
        <v>50000</v>
      </c>
      <c r="F7" s="10" t="n">
        <f aca="false">(D7-C7)*E7</f>
        <v>0</v>
      </c>
      <c r="G7" s="11" t="s">
        <v>12</v>
      </c>
    </row>
    <row r="8" customFormat="false" ht="18" hidden="false" customHeight="true" outlineLevel="0" collapsed="false">
      <c r="A8" s="6" t="n">
        <v>3</v>
      </c>
      <c r="B8" s="7" t="s">
        <v>14</v>
      </c>
      <c r="C8" s="8" t="n">
        <v>3</v>
      </c>
      <c r="D8" s="8" t="n">
        <v>3</v>
      </c>
      <c r="E8" s="9" t="n">
        <v>50000</v>
      </c>
      <c r="F8" s="10" t="n">
        <f aca="false">(D8-C8)*E8</f>
        <v>0</v>
      </c>
      <c r="G8" s="11" t="s">
        <v>12</v>
      </c>
    </row>
    <row r="9" customFormat="false" ht="18" hidden="false" customHeight="true" outlineLevel="0" collapsed="false">
      <c r="A9" s="6" t="n">
        <v>4</v>
      </c>
      <c r="B9" s="7" t="s">
        <v>15</v>
      </c>
      <c r="C9" s="8" t="n">
        <v>3</v>
      </c>
      <c r="D9" s="8" t="n">
        <v>3</v>
      </c>
      <c r="E9" s="9" t="n">
        <v>50000</v>
      </c>
      <c r="F9" s="10" t="n">
        <f aca="false">(D9-C9)*E9</f>
        <v>0</v>
      </c>
      <c r="G9" s="11" t="s">
        <v>12</v>
      </c>
    </row>
    <row r="10" customFormat="false" ht="18" hidden="false" customHeight="true" outlineLevel="0" collapsed="false">
      <c r="A10" s="6" t="n">
        <v>5</v>
      </c>
      <c r="B10" s="7" t="s">
        <v>16</v>
      </c>
      <c r="C10" s="8" t="n">
        <v>3</v>
      </c>
      <c r="D10" s="8" t="n">
        <v>3</v>
      </c>
      <c r="E10" s="9" t="n">
        <v>50000</v>
      </c>
      <c r="F10" s="10" t="n">
        <f aca="false">(D10-C10)*E10</f>
        <v>0</v>
      </c>
      <c r="G10" s="11" t="s">
        <v>12</v>
      </c>
    </row>
    <row r="11" customFormat="false" ht="18" hidden="false" customHeight="true" outlineLevel="0" collapsed="false">
      <c r="A11" s="6" t="n">
        <v>6</v>
      </c>
      <c r="B11" s="7" t="s">
        <v>17</v>
      </c>
      <c r="C11" s="8" t="n">
        <v>3</v>
      </c>
      <c r="D11" s="8" t="n">
        <v>3</v>
      </c>
      <c r="E11" s="9" t="n">
        <v>50000</v>
      </c>
      <c r="F11" s="10" t="n">
        <f aca="false">(D11-C11)*E11</f>
        <v>0</v>
      </c>
      <c r="G11" s="11" t="s">
        <v>12</v>
      </c>
    </row>
    <row r="12" customFormat="false" ht="18" hidden="false" customHeight="true" outlineLevel="0" collapsed="false">
      <c r="A12" s="6" t="n">
        <v>7</v>
      </c>
      <c r="B12" s="7" t="s">
        <v>18</v>
      </c>
      <c r="C12" s="8" t="n">
        <v>3</v>
      </c>
      <c r="D12" s="8" t="n">
        <v>3</v>
      </c>
      <c r="E12" s="9" t="n">
        <v>50000</v>
      </c>
      <c r="F12" s="10" t="n">
        <f aca="false">(D12-C12)*E12</f>
        <v>0</v>
      </c>
      <c r="G12" s="11" t="s">
        <v>12</v>
      </c>
    </row>
    <row r="13" customFormat="false" ht="18" hidden="false" customHeight="true" outlineLevel="0" collapsed="false">
      <c r="A13" s="6" t="n">
        <v>8</v>
      </c>
      <c r="B13" s="7" t="s">
        <v>19</v>
      </c>
      <c r="C13" s="8" t="n">
        <v>3</v>
      </c>
      <c r="D13" s="8" t="n">
        <v>3</v>
      </c>
      <c r="E13" s="9" t="n">
        <v>50000</v>
      </c>
      <c r="F13" s="10" t="n">
        <f aca="false">(D13-C13)*E13</f>
        <v>0</v>
      </c>
      <c r="G13" s="11" t="s">
        <v>12</v>
      </c>
    </row>
    <row r="14" customFormat="false" ht="18" hidden="false" customHeight="true" outlineLevel="0" collapsed="false">
      <c r="A14" s="6" t="n">
        <v>9</v>
      </c>
      <c r="B14" s="7" t="s">
        <v>20</v>
      </c>
      <c r="C14" s="8" t="n">
        <v>3</v>
      </c>
      <c r="D14" s="8" t="n">
        <v>3</v>
      </c>
      <c r="E14" s="9" t="n">
        <v>50000</v>
      </c>
      <c r="F14" s="10" t="n">
        <f aca="false">(D14-C14)*E14</f>
        <v>0</v>
      </c>
      <c r="G14" s="11" t="s">
        <v>12</v>
      </c>
    </row>
    <row r="15" customFormat="false" ht="18" hidden="false" customHeight="true" outlineLevel="0" collapsed="false">
      <c r="A15" s="6" t="n">
        <v>10</v>
      </c>
      <c r="B15" s="7" t="s">
        <v>21</v>
      </c>
      <c r="C15" s="8" t="n">
        <v>3</v>
      </c>
      <c r="D15" s="8" t="n">
        <v>3</v>
      </c>
      <c r="E15" s="9" t="n">
        <v>50000</v>
      </c>
      <c r="F15" s="10" t="n">
        <f aca="false">(D15-C15)*E15</f>
        <v>0</v>
      </c>
      <c r="G15" s="11" t="s">
        <v>12</v>
      </c>
    </row>
    <row r="16" customFormat="false" ht="21.75" hidden="false" customHeight="true" outlineLevel="0" collapsed="false">
      <c r="A16" s="12" t="s">
        <v>22</v>
      </c>
      <c r="B16" s="12"/>
      <c r="C16" s="12"/>
      <c r="D16" s="12"/>
      <c r="E16" s="12"/>
      <c r="F16" s="13" t="n">
        <f aca="false">SUM(F6:F15)</f>
        <v>0</v>
      </c>
    </row>
    <row r="17" customFormat="false" ht="24" hidden="false" customHeight="true" outlineLevel="0" collapsed="false">
      <c r="A17" s="14" t="s">
        <v>23</v>
      </c>
      <c r="B17" s="14"/>
      <c r="C17" s="14"/>
      <c r="D17" s="14"/>
      <c r="E17" s="14"/>
      <c r="F17" s="15" t="n">
        <f aca="false">IF(SUM(E6:E15)&gt;0,F16/SUM(E6:E15),0)</f>
        <v>0</v>
      </c>
    </row>
  </sheetData>
  <mergeCells count="6">
    <mergeCell ref="A1:G1"/>
    <mergeCell ref="A2:G2"/>
    <mergeCell ref="A3:G3"/>
    <mergeCell ref="A4:G4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24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4" t="s">
        <v>26</v>
      </c>
      <c r="B3" s="4"/>
      <c r="C3" s="4"/>
      <c r="D3" s="4"/>
      <c r="E3" s="4"/>
      <c r="F3" s="4"/>
      <c r="G3" s="4"/>
    </row>
    <row r="4" customFormat="false" ht="19.5" hidden="false" customHeight="true" outlineLevel="0" collapsed="false">
      <c r="A4" s="5" t="s">
        <v>4</v>
      </c>
      <c r="B4" s="5" t="s">
        <v>27</v>
      </c>
      <c r="C4" s="5" t="s">
        <v>28</v>
      </c>
      <c r="D4" s="5" t="s">
        <v>8</v>
      </c>
      <c r="E4" s="5" t="s">
        <v>29</v>
      </c>
      <c r="F4" s="5" t="s">
        <v>30</v>
      </c>
      <c r="G4" s="5" t="s">
        <v>31</v>
      </c>
    </row>
    <row r="5" customFormat="false" ht="18" hidden="false" customHeight="true" outlineLevel="0" collapsed="false">
      <c r="A5" s="6" t="n">
        <v>1</v>
      </c>
      <c r="B5" s="7" t="s">
        <v>32</v>
      </c>
      <c r="C5" s="8" t="s">
        <v>33</v>
      </c>
      <c r="D5" s="9" t="n">
        <v>60000</v>
      </c>
      <c r="E5" s="16" t="n">
        <v>0.5</v>
      </c>
      <c r="F5" s="10" t="n">
        <f aca="false">(E5*D5*0.5)+(D5*1.5*0.1)</f>
        <v>24000</v>
      </c>
      <c r="G5" s="11" t="s">
        <v>34</v>
      </c>
    </row>
    <row r="6" customFormat="false" ht="18" hidden="false" customHeight="true" outlineLevel="0" collapsed="false">
      <c r="A6" s="6" t="n">
        <v>2</v>
      </c>
      <c r="B6" s="7" t="s">
        <v>35</v>
      </c>
      <c r="C6" s="8" t="s">
        <v>33</v>
      </c>
      <c r="D6" s="9" t="n">
        <v>60000</v>
      </c>
      <c r="E6" s="16" t="n">
        <v>0.5</v>
      </c>
      <c r="F6" s="10" t="n">
        <f aca="false">(E6*D6*0.5)+(D6*1.5*0.1)</f>
        <v>24000</v>
      </c>
      <c r="G6" s="11" t="s">
        <v>34</v>
      </c>
    </row>
    <row r="7" customFormat="false" ht="18" hidden="false" customHeight="true" outlineLevel="0" collapsed="false">
      <c r="A7" s="6" t="n">
        <v>3</v>
      </c>
      <c r="B7" s="7" t="s">
        <v>36</v>
      </c>
      <c r="C7" s="8" t="s">
        <v>37</v>
      </c>
      <c r="D7" s="9" t="n">
        <v>60000</v>
      </c>
      <c r="E7" s="16" t="n">
        <v>0.5</v>
      </c>
      <c r="F7" s="10" t="n">
        <f aca="false">(E7*D7*0.5)+(D7*1.5*0.1)</f>
        <v>24000</v>
      </c>
      <c r="G7" s="11" t="s">
        <v>34</v>
      </c>
    </row>
    <row r="8" customFormat="false" ht="18" hidden="false" customHeight="true" outlineLevel="0" collapsed="false">
      <c r="A8" s="6" t="n">
        <v>4</v>
      </c>
      <c r="B8" s="7" t="s">
        <v>38</v>
      </c>
      <c r="C8" s="8" t="s">
        <v>39</v>
      </c>
      <c r="D8" s="9" t="n">
        <v>60000</v>
      </c>
      <c r="E8" s="16" t="n">
        <v>0.5</v>
      </c>
      <c r="F8" s="10" t="n">
        <f aca="false">(E8*D8*0.5)+(D8*1.5*0.1)</f>
        <v>24000</v>
      </c>
      <c r="G8" s="11" t="s">
        <v>34</v>
      </c>
    </row>
    <row r="9" customFormat="false" ht="18" hidden="false" customHeight="true" outlineLevel="0" collapsed="false">
      <c r="A9" s="6" t="n">
        <v>5</v>
      </c>
      <c r="B9" s="7" t="s">
        <v>40</v>
      </c>
      <c r="C9" s="8" t="s">
        <v>37</v>
      </c>
      <c r="D9" s="9" t="n">
        <v>60000</v>
      </c>
      <c r="E9" s="16" t="n">
        <v>0.5</v>
      </c>
      <c r="F9" s="10" t="n">
        <f aca="false">(E9*D9*0.5)+(D9*1.5*0.1)</f>
        <v>24000</v>
      </c>
      <c r="G9" s="11" t="s">
        <v>34</v>
      </c>
    </row>
    <row r="10" customFormat="false" ht="18" hidden="false" customHeight="true" outlineLevel="0" collapsed="false">
      <c r="A10" s="6" t="n">
        <v>6</v>
      </c>
      <c r="B10" s="7" t="s">
        <v>41</v>
      </c>
      <c r="C10" s="8" t="s">
        <v>33</v>
      </c>
      <c r="D10" s="9" t="n">
        <v>60000</v>
      </c>
      <c r="E10" s="16" t="n">
        <v>0.5</v>
      </c>
      <c r="F10" s="10" t="n">
        <f aca="false">(E10*D10*0.5)+(D10*1.5*0.1)</f>
        <v>24000</v>
      </c>
      <c r="G10" s="11" t="s">
        <v>34</v>
      </c>
    </row>
    <row r="11" customFormat="false" ht="18" hidden="false" customHeight="true" outlineLevel="0" collapsed="false">
      <c r="A11" s="6" t="n">
        <v>7</v>
      </c>
      <c r="B11" s="7" t="s">
        <v>42</v>
      </c>
      <c r="C11" s="8" t="s">
        <v>39</v>
      </c>
      <c r="D11" s="9" t="n">
        <v>60000</v>
      </c>
      <c r="E11" s="16" t="n">
        <v>0.5</v>
      </c>
      <c r="F11" s="10" t="n">
        <f aca="false">(E11*D11*0.5)+(D11*1.5*0.1)</f>
        <v>24000</v>
      </c>
      <c r="G11" s="11" t="s">
        <v>34</v>
      </c>
    </row>
    <row r="12" customFormat="false" ht="18" hidden="false" customHeight="true" outlineLevel="0" collapsed="false">
      <c r="A12" s="6" t="n">
        <v>8</v>
      </c>
      <c r="B12" s="7" t="s">
        <v>43</v>
      </c>
      <c r="C12" s="8" t="s">
        <v>37</v>
      </c>
      <c r="D12" s="9" t="n">
        <v>60000</v>
      </c>
      <c r="E12" s="16" t="n">
        <v>0.5</v>
      </c>
      <c r="F12" s="10" t="n">
        <f aca="false">(E12*D12*0.5)+(D12*1.5*0.1)</f>
        <v>24000</v>
      </c>
      <c r="G12" s="11" t="s">
        <v>34</v>
      </c>
    </row>
    <row r="13" customFormat="false" ht="18" hidden="false" customHeight="true" outlineLevel="0" collapsed="false">
      <c r="A13" s="6" t="n">
        <v>9</v>
      </c>
      <c r="B13" s="7" t="s">
        <v>44</v>
      </c>
      <c r="C13" s="8" t="s">
        <v>33</v>
      </c>
      <c r="D13" s="9" t="n">
        <v>60000</v>
      </c>
      <c r="E13" s="16" t="n">
        <v>0.5</v>
      </c>
      <c r="F13" s="10" t="n">
        <f aca="false">(E13*D13*0.5)+(D13*1.5*0.1)</f>
        <v>24000</v>
      </c>
      <c r="G13" s="11" t="s">
        <v>34</v>
      </c>
    </row>
    <row r="14" customFormat="false" ht="18" hidden="false" customHeight="true" outlineLevel="0" collapsed="false">
      <c r="A14" s="6" t="n">
        <v>10</v>
      </c>
      <c r="B14" s="7" t="s">
        <v>45</v>
      </c>
      <c r="C14" s="8" t="s">
        <v>37</v>
      </c>
      <c r="D14" s="9" t="n">
        <v>60000</v>
      </c>
      <c r="E14" s="16" t="n">
        <v>0.5</v>
      </c>
      <c r="F14" s="10" t="n">
        <f aca="false">(E14*D14*0.5)+(D14*1.5*0.1)</f>
        <v>24000</v>
      </c>
      <c r="G14" s="11" t="s">
        <v>34</v>
      </c>
    </row>
    <row r="15" customFormat="false" ht="21.75" hidden="false" customHeight="true" outlineLevel="0" collapsed="false">
      <c r="A15" s="12" t="s">
        <v>46</v>
      </c>
      <c r="B15" s="12"/>
      <c r="C15" s="12"/>
      <c r="D15" s="12"/>
      <c r="E15" s="12"/>
      <c r="F15" s="13" t="n">
        <f aca="false">SUM(F5:F14)</f>
        <v>240000</v>
      </c>
    </row>
    <row r="16" customFormat="false" ht="24" hidden="false" customHeight="true" outlineLevel="0" collapsed="false">
      <c r="A16" s="14" t="s">
        <v>47</v>
      </c>
      <c r="B16" s="14"/>
      <c r="C16" s="14"/>
      <c r="D16" s="14"/>
      <c r="E16" s="14"/>
      <c r="F16" s="17" t="n">
        <f aca="false">F15</f>
        <v>240000</v>
      </c>
    </row>
  </sheetData>
  <mergeCells count="5">
    <mergeCell ref="A1:G1"/>
    <mergeCell ref="A2:G2"/>
    <mergeCell ref="A3:G3"/>
    <mergeCell ref="A15:E15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48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49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4" t="s">
        <v>50</v>
      </c>
      <c r="B3" s="4"/>
      <c r="C3" s="4"/>
      <c r="D3" s="4"/>
      <c r="E3" s="4"/>
      <c r="F3" s="4"/>
      <c r="G3" s="4"/>
    </row>
    <row r="4" customFormat="false" ht="15.75" hidden="false" customHeight="true" outlineLevel="0" collapsed="false">
      <c r="A4" s="18" t="s">
        <v>51</v>
      </c>
      <c r="B4" s="18"/>
      <c r="C4" s="18"/>
      <c r="D4" s="18"/>
      <c r="E4" s="18"/>
      <c r="F4" s="18"/>
      <c r="G4" s="18"/>
    </row>
    <row r="5" customFormat="false" ht="19.5" hidden="false" customHeight="true" outlineLevel="0" collapsed="false">
      <c r="A5" s="5" t="s">
        <v>4</v>
      </c>
      <c r="B5" s="5" t="s">
        <v>27</v>
      </c>
      <c r="C5" s="5" t="s">
        <v>52</v>
      </c>
      <c r="D5" s="5" t="s">
        <v>6</v>
      </c>
      <c r="E5" s="5" t="s">
        <v>53</v>
      </c>
      <c r="F5" s="5" t="s">
        <v>8</v>
      </c>
      <c r="G5" s="5" t="s">
        <v>54</v>
      </c>
    </row>
    <row r="6" customFormat="false" ht="18" hidden="false" customHeight="true" outlineLevel="0" collapsed="false">
      <c r="A6" s="6" t="n">
        <v>1</v>
      </c>
      <c r="B6" s="7" t="s">
        <v>55</v>
      </c>
      <c r="C6" s="8" t="n">
        <v>6</v>
      </c>
      <c r="D6" s="8" t="n">
        <v>3</v>
      </c>
      <c r="E6" s="8" t="n">
        <v>3.2</v>
      </c>
      <c r="F6" s="9" t="n">
        <v>55000</v>
      </c>
      <c r="G6" s="10" t="n">
        <f aca="false">IF(E6-D6&gt;0,(E6-D6)*F6,0)</f>
        <v>11000</v>
      </c>
    </row>
    <row r="7" customFormat="false" ht="18" hidden="false" customHeight="true" outlineLevel="0" collapsed="false">
      <c r="A7" s="6" t="n">
        <v>2</v>
      </c>
      <c r="B7" s="7" t="s">
        <v>56</v>
      </c>
      <c r="C7" s="8" t="n">
        <v>6</v>
      </c>
      <c r="D7" s="8" t="n">
        <v>3</v>
      </c>
      <c r="E7" s="8" t="n">
        <v>3.2</v>
      </c>
      <c r="F7" s="9" t="n">
        <v>55000</v>
      </c>
      <c r="G7" s="10" t="n">
        <f aca="false">IF(E7-D7&gt;0,(E7-D7)*F7,0)</f>
        <v>11000</v>
      </c>
    </row>
    <row r="8" customFormat="false" ht="18" hidden="false" customHeight="true" outlineLevel="0" collapsed="false">
      <c r="A8" s="6" t="n">
        <v>3</v>
      </c>
      <c r="B8" s="7" t="s">
        <v>57</v>
      </c>
      <c r="C8" s="8" t="n">
        <v>6</v>
      </c>
      <c r="D8" s="8" t="n">
        <v>3</v>
      </c>
      <c r="E8" s="8" t="n">
        <v>3.2</v>
      </c>
      <c r="F8" s="9" t="n">
        <v>55000</v>
      </c>
      <c r="G8" s="10" t="n">
        <f aca="false">IF(E8-D8&gt;0,(E8-D8)*F8,0)</f>
        <v>11000</v>
      </c>
    </row>
    <row r="9" customFormat="false" ht="18" hidden="false" customHeight="true" outlineLevel="0" collapsed="false">
      <c r="A9" s="6" t="n">
        <v>4</v>
      </c>
      <c r="B9" s="7" t="s">
        <v>58</v>
      </c>
      <c r="C9" s="8" t="n">
        <v>6</v>
      </c>
      <c r="D9" s="8" t="n">
        <v>3</v>
      </c>
      <c r="E9" s="8" t="n">
        <v>3.2</v>
      </c>
      <c r="F9" s="9" t="n">
        <v>55000</v>
      </c>
      <c r="G9" s="10" t="n">
        <f aca="false">IF(E9-D9&gt;0,(E9-D9)*F9,0)</f>
        <v>11000</v>
      </c>
    </row>
    <row r="10" customFormat="false" ht="18" hidden="false" customHeight="true" outlineLevel="0" collapsed="false">
      <c r="A10" s="6" t="n">
        <v>5</v>
      </c>
      <c r="B10" s="7" t="s">
        <v>59</v>
      </c>
      <c r="C10" s="8" t="n">
        <v>6</v>
      </c>
      <c r="D10" s="8" t="n">
        <v>3</v>
      </c>
      <c r="E10" s="8" t="n">
        <v>3.2</v>
      </c>
      <c r="F10" s="9" t="n">
        <v>55000</v>
      </c>
      <c r="G10" s="10" t="n">
        <f aca="false">IF(E10-D10&gt;0,(E10-D10)*F10,0)</f>
        <v>11000</v>
      </c>
    </row>
    <row r="11" customFormat="false" ht="18" hidden="false" customHeight="true" outlineLevel="0" collapsed="false">
      <c r="A11" s="6" t="n">
        <v>6</v>
      </c>
      <c r="B11" s="7" t="s">
        <v>60</v>
      </c>
      <c r="C11" s="8" t="n">
        <v>6</v>
      </c>
      <c r="D11" s="8" t="n">
        <v>3</v>
      </c>
      <c r="E11" s="8" t="n">
        <v>3.2</v>
      </c>
      <c r="F11" s="9" t="n">
        <v>55000</v>
      </c>
      <c r="G11" s="10" t="n">
        <f aca="false">IF(E11-D11&gt;0,(E11-D11)*F11,0)</f>
        <v>11000</v>
      </c>
    </row>
    <row r="12" customFormat="false" ht="18" hidden="false" customHeight="true" outlineLevel="0" collapsed="false">
      <c r="A12" s="6" t="n">
        <v>7</v>
      </c>
      <c r="B12" s="7" t="s">
        <v>61</v>
      </c>
      <c r="C12" s="8" t="n">
        <v>6</v>
      </c>
      <c r="D12" s="8" t="n">
        <v>3</v>
      </c>
      <c r="E12" s="8" t="n">
        <v>3.2</v>
      </c>
      <c r="F12" s="9" t="n">
        <v>55000</v>
      </c>
      <c r="G12" s="10" t="n">
        <f aca="false">IF(E12-D12&gt;0,(E12-D12)*F12,0)</f>
        <v>11000</v>
      </c>
    </row>
    <row r="13" customFormat="false" ht="18" hidden="false" customHeight="true" outlineLevel="0" collapsed="false">
      <c r="A13" s="6" t="n">
        <v>8</v>
      </c>
      <c r="B13" s="7" t="s">
        <v>62</v>
      </c>
      <c r="C13" s="8" t="n">
        <v>6</v>
      </c>
      <c r="D13" s="8" t="n">
        <v>3</v>
      </c>
      <c r="E13" s="8" t="n">
        <v>3.2</v>
      </c>
      <c r="F13" s="9" t="n">
        <v>55000</v>
      </c>
      <c r="G13" s="10" t="n">
        <f aca="false">IF(E13-D13&gt;0,(E13-D13)*F13,0)</f>
        <v>11000</v>
      </c>
    </row>
    <row r="14" customFormat="false" ht="21.75" hidden="false" customHeight="true" outlineLevel="0" collapsed="false">
      <c r="A14" s="12" t="s">
        <v>63</v>
      </c>
      <c r="B14" s="12"/>
      <c r="C14" s="12"/>
      <c r="D14" s="12"/>
      <c r="E14" s="12"/>
      <c r="F14" s="12"/>
      <c r="G14" s="13" t="n">
        <f aca="false">SUM(G6:G13)</f>
        <v>88000.0000000001</v>
      </c>
    </row>
  </sheetData>
  <mergeCells count="5">
    <mergeCell ref="A1:G1"/>
    <mergeCell ref="A2:G2"/>
    <mergeCell ref="A3:G3"/>
    <mergeCell ref="A4:G4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16"/>
  </cols>
  <sheetData>
    <row r="1" customFormat="false" ht="27.75" hidden="false" customHeight="true" outlineLevel="0" collapsed="false">
      <c r="A1" s="19" t="s">
        <v>64</v>
      </c>
      <c r="B1" s="19"/>
      <c r="C1" s="19"/>
    </row>
    <row r="2" customFormat="false" ht="15" hidden="false" customHeight="false" outlineLevel="0" collapsed="false">
      <c r="A2" s="2" t="s">
        <v>65</v>
      </c>
      <c r="B2" s="2"/>
      <c r="C2" s="2"/>
    </row>
    <row r="4" customFormat="false" ht="19.5" hidden="false" customHeight="true" outlineLevel="0" collapsed="false">
      <c r="A4" s="20" t="s">
        <v>66</v>
      </c>
      <c r="B4" s="21" t="s">
        <v>67</v>
      </c>
    </row>
    <row r="5" customFormat="false" ht="19.5" hidden="false" customHeight="true" outlineLevel="0" collapsed="false">
      <c r="A5" s="22" t="s">
        <v>68</v>
      </c>
      <c r="B5" s="10" t="n">
        <f aca="false">'Performance Premium'!F16</f>
        <v>0</v>
      </c>
      <c r="C5" s="11" t="s">
        <v>69</v>
      </c>
    </row>
    <row r="6" customFormat="false" ht="19.5" hidden="false" customHeight="true" outlineLevel="0" collapsed="false">
      <c r="A6" s="22" t="s">
        <v>70</v>
      </c>
      <c r="B6" s="10" t="n">
        <f aca="false">'Retention Quality Premium'!F15</f>
        <v>240000</v>
      </c>
      <c r="C6" s="11" t="s">
        <v>71</v>
      </c>
    </row>
    <row r="7" customFormat="false" ht="19.5" hidden="false" customHeight="true" outlineLevel="0" collapsed="false">
      <c r="A7" s="22" t="s">
        <v>72</v>
      </c>
      <c r="B7" s="10" t="n">
        <f aca="false">'Hiring Quality Premium'!G14</f>
        <v>88000.0000000001</v>
      </c>
      <c r="C7" s="11" t="s">
        <v>73</v>
      </c>
    </row>
    <row r="8" customFormat="false" ht="19.5" hidden="false" customHeight="true" outlineLevel="0" collapsed="false">
      <c r="A8" s="22"/>
    </row>
    <row r="9" customFormat="false" ht="24" hidden="false" customHeight="true" outlineLevel="0" collapsed="false">
      <c r="A9" s="23" t="s">
        <v>74</v>
      </c>
      <c r="B9" s="24" t="n">
        <f aca="false">B5+B6+B7</f>
        <v>328000</v>
      </c>
      <c r="C9" s="25" t="s">
        <v>75</v>
      </c>
    </row>
    <row r="10" customFormat="false" ht="19.5" hidden="false" customHeight="true" outlineLevel="0" collapsed="false">
      <c r="A10" s="22" t="s">
        <v>76</v>
      </c>
      <c r="C10" s="11" t="s">
        <v>77</v>
      </c>
    </row>
    <row r="11" customFormat="false" ht="19.5" hidden="false" customHeight="true" outlineLevel="0" collapsed="false">
      <c r="A11" s="22" t="s">
        <v>78</v>
      </c>
      <c r="B11" s="26" t="n">
        <f aca="false">IF(B10&gt;0,B9/B10,0)</f>
        <v>0</v>
      </c>
      <c r="C11" s="11" t="s">
        <v>79</v>
      </c>
    </row>
    <row r="12" customFormat="false" ht="19.5" hidden="false" customHeight="true" outlineLevel="0" collapsed="false">
      <c r="A12" s="22"/>
    </row>
    <row r="13" customFormat="false" ht="19.5" hidden="false" customHeight="true" outlineLevel="0" collapsed="false">
      <c r="A13" s="27" t="s">
        <v>80</v>
      </c>
      <c r="B13" s="28" t="s">
        <v>81</v>
      </c>
      <c r="C13" s="29" t="s">
        <v>82</v>
      </c>
    </row>
    <row r="14" customFormat="false" ht="19.5" hidden="false" customHeight="true" outlineLevel="0" collapsed="false">
      <c r="A14" s="27" t="s">
        <v>83</v>
      </c>
      <c r="B14" s="30" t="n">
        <f aca="false">B9*(B13-0.15)</f>
        <v>278800</v>
      </c>
      <c r="C14" s="29" t="s">
        <v>84</v>
      </c>
    </row>
    <row r="15" customFormat="false" ht="19.5" hidden="false" customHeight="true" outlineLevel="0" collapsed="false">
      <c r="A15" s="27" t="s">
        <v>85</v>
      </c>
      <c r="B15" s="30" t="n">
        <f aca="false">B9*B13</f>
        <v>328000</v>
      </c>
      <c r="C15" s="29" t="s">
        <v>86</v>
      </c>
    </row>
    <row r="16" customFormat="false" ht="19.5" hidden="false" customHeight="true" outlineLevel="0" collapsed="false">
      <c r="A16" s="27" t="s">
        <v>87</v>
      </c>
      <c r="B16" s="30" t="n">
        <f aca="false">B9*(B13+0.15)</f>
        <v>377200</v>
      </c>
      <c r="C16" s="29" t="s">
        <v>88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2026-06-08T08:25:53Z</dcterms:created>
  <dc:creator>openpyxl</dc:creator>
  <dc:description/>
  <dc:language>en-US</dc:language>
  <cp:lastModifiedBy/>
  <dcterms:modified xsi:type="dcterms:W3CDTF">2026-06-08T08:25:53Z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