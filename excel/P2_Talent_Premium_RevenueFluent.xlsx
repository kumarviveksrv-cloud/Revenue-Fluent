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 · Summary" sheetId="1" state="visible" r:id="rId3"/>
    <sheet name="02 · Five Verdicts" sheetId="2" state="visible" r:id="rId4"/>
    <sheet name="03 · Forward Projection" sheetId="3" state="visible" r:id="rId5"/>
    <sheet name="04 · HCI &amp; Workings" sheetId="4" state="visible" r:id="rId6"/>
    <sheet name="05 · Board Statement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<sst xmlns="http://schemas.openxmlformats.org/spreadsheetml/2006/main" count="326" uniqueCount="233">
  <si>
    <t xml:space="preserve">THE TALENT PREMIUM — L2</t>
  </si>
  <si>
    <t xml:space="preserve">Revenue Fluent · Five Verdict Areas · Forward Projection · Board-Ready Model</t>
  </si>
  <si>
    <t xml:space="preserve">ORGANISATION INPUTS</t>
  </si>
  <si>
    <t xml:space="preserve">Organisation name</t>
  </si>
  <si>
    <t xml:space="preserve">[Enter your org name]</t>
  </si>
  <si>
    <t xml:space="preserve">Total employees</t>
  </si>
  <si>
    <t xml:space="preserve">[Enter number]</t>
  </si>
  <si>
    <t xml:space="preserve">Number of people in org</t>
  </si>
  <si>
    <t xml:space="preserve">Geography / Currency</t>
  </si>
  <si>
    <t xml:space="preserve">[e.g. USD · New York]</t>
  </si>
  <si>
    <t xml:space="preserve">Determines currency display</t>
  </si>
  <si>
    <t xml:space="preserve">Total compensation base</t>
  </si>
  <si>
    <t xml:space="preserve">[Enter annual salary bill]</t>
  </si>
  <si>
    <t xml:space="preserve">$#,##0</t>
  </si>
  <si>
    <t xml:space="preserve">Assessment period</t>
  </si>
  <si>
    <t xml:space="preserve">[e.g. FY2026 · Q1]</t>
  </si>
  <si>
    <t xml:space="preserve">Period this model covers</t>
  </si>
  <si>
    <t xml:space="preserve">HR function cost</t>
  </si>
  <si>
    <t xml:space="preserve">[Annual HR team + tools cost]</t>
  </si>
  <si>
    <t xml:space="preserve">TALENT QUALITY PREMIUM (TQP)</t>
  </si>
  <si>
    <t xml:space="preserve">Talent Quality Premium</t>
  </si>
  <si>
    <t xml:space="preserve">[Enter TQP from platform]</t>
  </si>
  <si>
    <t xml:space="preserve">HCI Coefficient</t>
  </si>
  <si>
    <t xml:space="preserve">[0.70 – 1.30]</t>
  </si>
  <si>
    <t xml:space="preserve">Human Confidence Index</t>
  </si>
  <si>
    <t xml:space="preserve">HCI-Adjusted TQP</t>
  </si>
  <si>
    <t xml:space="preserve">Base TQP x HCI coefficient</t>
  </si>
  <si>
    <t xml:space="preserve">TQP COMPONENTS</t>
  </si>
  <si>
    <t xml:space="preserve">Component</t>
  </si>
  <si>
    <t xml:space="preserve">Value</t>
  </si>
  <si>
    <t xml:space="preserve">% of TQP</t>
  </si>
  <si>
    <t xml:space="preserve">Notes</t>
  </si>
  <si>
    <t xml:space="preserve">Performance Premium</t>
  </si>
  <si>
    <t xml:space="preserve">[Enter from platform]</t>
  </si>
  <si>
    <t xml:space="preserve">Staff above grade performance baseline</t>
  </si>
  <si>
    <t xml:space="preserve">Retention Premium</t>
  </si>
  <si>
    <t xml:space="preserve">Stars / HPs / HiPos retained above baseline</t>
  </si>
  <si>
    <t xml:space="preserve">Hiring Premium</t>
  </si>
  <si>
    <t xml:space="preserve">Recent hires (&lt; 1yr) above baseline</t>
  </si>
  <si>
    <t xml:space="preserve">TOTAL TQP</t>
  </si>
  <si>
    <t xml:space="preserve">Sum of three components</t>
  </si>
  <si>
    <t xml:space="preserve">BENCHMARK POSITION</t>
  </si>
  <si>
    <t xml:space="preserve">Benchmark</t>
  </si>
  <si>
    <t xml:space="preserve">TQP Value</t>
  </si>
  <si>
    <t xml:space="preserve">vs Your Org</t>
  </si>
  <si>
    <t xml:space="preserve">Source</t>
  </si>
  <si>
    <t xml:space="preserve">Market average (all scenarios)</t>
  </si>
  <si>
    <t xml:space="preserve">Revenue Fluent dataset · 15 scenarios</t>
  </si>
  <si>
    <t xml:space="preserve">Your organisation</t>
  </si>
  <si>
    <t xml:space="preserve">Computed from your inputs</t>
  </si>
  <si>
    <t xml:space="preserve">Variance (vs market)</t>
  </si>
  <si>
    <t xml:space="preserve">Positive = above market</t>
  </si>
  <si>
    <t xml:space="preserve">FIVE VERDICT AREAS — SUMMARY</t>
  </si>
  <si>
    <t xml:space="preserve">Verdict Area</t>
  </si>
  <si>
    <t xml:space="preserve">Score /100</t>
  </si>
  <si>
    <t xml:space="preserve">Signal</t>
  </si>
  <si>
    <t xml:space="preserve">vs Market Avg</t>
  </si>
  <si>
    <t xml:space="preserve">Promotion Accuracy</t>
  </si>
  <si>
    <t xml:space="preserve">Manager Quality</t>
  </si>
  <si>
    <t xml:space="preserve">Hiring Quality</t>
  </si>
  <si>
    <t xml:space="preserve">Selective Retention</t>
  </si>
  <si>
    <t xml:space="preserve">HiPo Identification</t>
  </si>
  <si>
    <t xml:space="preserve">Overall Verdict Score</t>
  </si>
  <si>
    <t xml:space="preserve">HOW TO USE: Enter values in GOLD cells. All black cells are formulas — do not edit.</t>
  </si>
  <si>
    <t xml:space="preserve">FIVE VERDICT AREAS</t>
  </si>
  <si>
    <t xml:space="preserve">Promotion Accuracy · Manager Quality · Hiring Quality · Selective Retention · HiPo Identification</t>
  </si>
  <si>
    <t xml:space="preserve">V1 — Promotion Accuracy</t>
  </si>
  <si>
    <t xml:space="preserve">Are promotions landing on the right people? Measures Stars at or above their grade performance midpoint.</t>
  </si>
  <si>
    <t xml:space="preserve">Input</t>
  </si>
  <si>
    <t xml:space="preserve">Your Value</t>
  </si>
  <si>
    <t xml:space="preserve">Market Avg Score</t>
  </si>
  <si>
    <t xml:space="preserve">Total Stars</t>
  </si>
  <si>
    <t xml:space="preserve">Star-rated employees in org</t>
  </si>
  <si>
    <t xml:space="preserve">Stars at/above grade midpoint</t>
  </si>
  <si>
    <t xml:space="preserve">Stars performing above grade average</t>
  </si>
  <si>
    <t xml:space="preserve">Promotion Accuracy Score</t>
  </si>
  <si>
    <t xml:space="preserve">= Stars above midpoint / Total Stars x 100</t>
  </si>
  <si>
    <t xml:space="preserve">vs market average</t>
  </si>
  <si>
    <t xml:space="preserve">Grade mismatches</t>
  </si>
  <si>
    <t xml:space="preserve">Stars below grade performance midpoint</t>
  </si>
  <si>
    <t xml:space="preserve">C-Suite Inconsistent</t>
  </si>
  <si>
    <t xml:space="preserve">Senior leaders rated Inconsistent</t>
  </si>
  <si>
    <t xml:space="preserve">Key Finding</t>
  </si>
  <si>
    <t xml:space="preserve">[Paste finding from platform or write your own]</t>
  </si>
  <si>
    <t xml:space="preserve">V2 — Manager Quality</t>
  </si>
  <si>
    <t xml:space="preserve">Are managers outperforming their direct report average? The highest-leverage, most undertracked area in HR.</t>
  </si>
  <si>
    <t xml:space="preserve">Total managers</t>
  </si>
  <si>
    <t xml:space="preserve">People managers in org</t>
  </si>
  <si>
    <t xml:space="preserve">Managers below team avg</t>
  </si>
  <si>
    <t xml:space="preserve">Managers performing below their direct reports</t>
  </si>
  <si>
    <t xml:space="preserve">Manager Quality Score</t>
  </si>
  <si>
    <t xml:space="preserve">= (Managers - Below avg) / Total managers x 100</t>
  </si>
  <si>
    <t xml:space="preserve">Star-to-manager ratio</t>
  </si>
  <si>
    <t xml:space="preserve">[Enter x.x]</t>
  </si>
  <si>
    <t xml:space="preserve">Stars per manager — higher = stronger pipeline</t>
  </si>
  <si>
    <t xml:space="preserve">Teams with no Star manager</t>
  </si>
  <si>
    <t xml:space="preserve">Teams where manager is below team average</t>
  </si>
  <si>
    <t xml:space="preserve">V3 — Hiring Quality</t>
  </si>
  <si>
    <t xml:space="preserve">Are recent hires (tenure &lt; 1yr) outperforming their grade baseline? Hiring quality determines next year's performance.</t>
  </si>
  <si>
    <t xml:space="preserve">Total recent hires (&lt;1yr)</t>
  </si>
  <si>
    <t xml:space="preserve">Employees hired in last 12 months</t>
  </si>
  <si>
    <t xml:space="preserve">Recent hires above baseline</t>
  </si>
  <si>
    <t xml:space="preserve">New hires outperforming grade average</t>
  </si>
  <si>
    <t xml:space="preserve">Hiring Quality Score</t>
  </si>
  <si>
    <t xml:space="preserve">= Hires above baseline / Total recent hires x 100</t>
  </si>
  <si>
    <t xml:space="preserve">Early Inconsistent Performers</t>
  </si>
  <si>
    <t xml:space="preserve">New hires already rated Inconsistent</t>
  </si>
  <si>
    <t xml:space="preserve">Avg ramp time to baseline</t>
  </si>
  <si>
    <t xml:space="preserve">[Enter months]</t>
  </si>
  <si>
    <t xml:space="preserve">Months to reach grade performance average</t>
  </si>
  <si>
    <t xml:space="preserve">V4 — Selective Retention</t>
  </si>
  <si>
    <t xml:space="preserve">Not how many left — but who left. Stars staying longer than Inconsistent Performers is the signal that matters.</t>
  </si>
  <si>
    <t xml:space="preserve">Star avg tenure (years)</t>
  </si>
  <si>
    <t xml:space="preserve">Average tenure of Star-rated employees</t>
  </si>
  <si>
    <t xml:space="preserve">Inconsistent avg tenure (years)</t>
  </si>
  <si>
    <t xml:space="preserve">Average tenure of Inconsistent Performers</t>
  </si>
  <si>
    <t xml:space="preserve">Selective Retention Score</t>
  </si>
  <si>
    <t xml:space="preserve">Star tenure vs Inconsistent tenure differential — normalised to 0–100</t>
  </si>
  <si>
    <t xml:space="preserve">Total Inconsistent Performers</t>
  </si>
  <si>
    <t xml:space="preserve">Current Inconsistent Performers in org</t>
  </si>
  <si>
    <t xml:space="preserve">Flight risk Stars</t>
  </si>
  <si>
    <t xml:space="preserve">Stars at risk of departure</t>
  </si>
  <si>
    <t xml:space="preserve">V5 — HiPo Identification</t>
  </si>
  <si>
    <t xml:space="preserve">Is the leadership pipeline calibrated to sustain current performance? HiPo misidentification fails silently for 5–7 years.</t>
  </si>
  <si>
    <t xml:space="preserve">High Potentials identified</t>
  </si>
  <si>
    <t xml:space="preserve">Employees classified as High Potential</t>
  </si>
  <si>
    <t xml:space="preserve">HiPos in stretch roles</t>
  </si>
  <si>
    <t xml:space="preserve">HiPos actively developing in challenging roles</t>
  </si>
  <si>
    <t xml:space="preserve">HiPo Score</t>
  </si>
  <si>
    <t xml:space="preserve">HiPo count relative to current Star density — pipeline calibration index</t>
  </si>
  <si>
    <t xml:space="preserve">HiPo-to-Star ratio</t>
  </si>
  <si>
    <t xml:space="preserve">[Enter x.x or formula]</t>
  </si>
  <si>
    <t xml:space="preserve">HiPos / Stars — healthy pipeline ratio</t>
  </si>
  <si>
    <t xml:space="preserve">HiPos at grade ceiling</t>
  </si>
  <si>
    <t xml:space="preserve">HiPos blocked from advancement by grade structure</t>
  </si>
  <si>
    <t xml:space="preserve">FORWARD PROJECTION</t>
  </si>
  <si>
    <t xml:space="preserve">Scenario model · Conservative / Your Assessment / Optimistic · Lever-based uplift</t>
  </si>
  <si>
    <t xml:space="preserve">BASE TQP (from Summary tab)</t>
  </si>
  <si>
    <t xml:space="preserve">Base TQP (HCI-adjusted)</t>
  </si>
  <si>
    <t xml:space="preserve">Pulled from Summary tab</t>
  </si>
  <si>
    <t xml:space="preserve">IMPROVEMENT LEVERS</t>
  </si>
  <si>
    <t xml:space="preserve">Lever</t>
  </si>
  <si>
    <t xml:space="preserve">Estimated Uplift</t>
  </si>
  <si>
    <t xml:space="preserve">Include? (Y/N)</t>
  </si>
  <si>
    <t xml:space="preserve">Upgrade manager layer</t>
  </si>
  <si>
    <t xml:space="preserve">Y</t>
  </si>
  <si>
    <t xml:space="preserve">Raise hiring bar</t>
  </si>
  <si>
    <t xml:space="preserve">Activate HiPo pipeline</t>
  </si>
  <si>
    <t xml:space="preserve">Tighten promotion criteria</t>
  </si>
  <si>
    <t xml:space="preserve">N</t>
  </si>
  <si>
    <t xml:space="preserve">Invert retention focus</t>
  </si>
  <si>
    <t xml:space="preserve">SELECTED LEVER UPLIFT</t>
  </si>
  <si>
    <t xml:space="preserve">Total selected uplift</t>
  </si>
  <si>
    <t xml:space="preserve">THREE-SCENARIO PROJECTION</t>
  </si>
  <si>
    <t xml:space="preserve">Line Item</t>
  </si>
  <si>
    <t xml:space="preserve">Conservative</t>
  </si>
  <si>
    <t xml:space="preserve">Your Assessment</t>
  </si>
  <si>
    <t xml:space="preserve">Optimistic</t>
  </si>
  <si>
    <t xml:space="preserve">Current TQP (base)</t>
  </si>
  <si>
    <t xml:space="preserve">Lever uplift (selected)</t>
  </si>
  <si>
    <t xml:space="preserve">PROJECTED TQP</t>
  </si>
  <si>
    <t xml:space="preserve">vs Current TQP</t>
  </si>
  <si>
    <t xml:space="preserve">Uplift %</t>
  </si>
  <si>
    <t xml:space="preserve">NOTE: This is a scenario model, not a forecast. Conservative = 85% of base + 85% of lever uplift. Optimistic = 115%. Change Y/N in column E above to include or exclude levers.</t>
  </si>
  <si>
    <t xml:space="preserve">HUMAN CONFIDENCE INDEX &amp; SHOW WORKINGS</t>
  </si>
  <si>
    <t xml:space="preserve">HCI coefficient · Four observable factors · Three-scenario adjustment · Formula transparency</t>
  </si>
  <si>
    <t xml:space="preserve">THE HUMAN CONFIDENCE INDEX (HCI)</t>
  </si>
  <si>
    <t xml:space="preserve">The HCI is a named coefficient (0.70 to 1.30) that adjusts the base TQP for current organisational conditions. Answer four Yes/No questions. Each YES adds 0.15 to the base coefficient of 0.70.</t>
  </si>
  <si>
    <t xml:space="preserve">HCI Factor</t>
  </si>
  <si>
    <t xml:space="preserve">Yes / No</t>
  </si>
  <si>
    <t xml:space="preserve">Impact</t>
  </si>
  <si>
    <t xml:space="preserve">Guidance</t>
  </si>
  <si>
    <t xml:space="preserve">Leadership Stability</t>
  </si>
  <si>
    <t xml:space="preserve">YES</t>
  </si>
  <si>
    <t xml:space="preserve">+0.15</t>
  </si>
  <si>
    <t xml:space="preserve">Is leadership stable, present, and actively engaged right now?</t>
  </si>
  <si>
    <t xml:space="preserve">Org Disruption Free</t>
  </si>
  <si>
    <t xml:space="preserve">Is the org free from major disruption, restructure, M&amp;A, or layoffs?</t>
  </si>
  <si>
    <t xml:space="preserve">Culture Health</t>
  </si>
  <si>
    <t xml:space="preserve">Is the culture broadly functional and not in crisis?</t>
  </si>
  <si>
    <t xml:space="preserve">Execution Momentum</t>
  </si>
  <si>
    <t xml:space="preserve">Is the org executing well against its current strategic priorities?</t>
  </si>
  <si>
    <t xml:space="preserve">0.70 + (count of YES x 0.15)</t>
  </si>
  <si>
    <t xml:space="preserve">THREE HCI SCENARIOS</t>
  </si>
  <si>
    <t xml:space="preserve">Scenario</t>
  </si>
  <si>
    <t xml:space="preserve">HCI</t>
  </si>
  <si>
    <t xml:space="preserve">Adjusted TQP</t>
  </si>
  <si>
    <t xml:space="preserve">Interpretation</t>
  </si>
  <si>
    <t xml:space="preserve">HCI -0.15 — conditions slightly worse than assessed</t>
  </si>
  <si>
    <t xml:space="preserve">Your HCI — the number you should present</t>
  </si>
  <si>
    <t xml:space="preserve">HCI +0.15 — conditions slightly better than assessed</t>
  </si>
  <si>
    <t xml:space="preserve">SHOW WORKINGS — TQP METHODOLOGY</t>
  </si>
  <si>
    <t xml:space="preserve">PERFORMANCE PREMIUM</t>
  </si>
  <si>
    <t xml:space="preserve">Formula</t>
  </si>
  <si>
    <t xml:space="preserve">Σ (perf_score - grade_avg) × salary for each employee</t>
  </si>
  <si>
    <t xml:space="preserve">Input: Grade averages</t>
  </si>
  <si>
    <t xml:space="preserve">Computed from all employees in same grade</t>
  </si>
  <si>
    <t xml:space="preserve">Revenue Fluent dataset · rf-data.js v5.0</t>
  </si>
  <si>
    <t xml:space="preserve">Input: Performance surplus</t>
  </si>
  <si>
    <t xml:space="preserve">Per-employee deviation above/below grade benchmark</t>
  </si>
  <si>
    <t xml:space="preserve">Salary-weighted</t>
  </si>
  <si>
    <t xml:space="preserve">Output</t>
  </si>
  <si>
    <t xml:space="preserve">Total financial value of above-baseline performance</t>
  </si>
  <si>
    <t xml:space="preserve">RETENTION PREMIUM</t>
  </si>
  <si>
    <t xml:space="preserve">(surplus × salary × 0.5) + (replace cost × 0.1) for Stars, HPs, HiPos</t>
  </si>
  <si>
    <t xml:space="preserve">Replace cost assumption</t>
  </si>
  <si>
    <t xml:space="preserve">1.5× annual salary (industry standard)</t>
  </si>
  <si>
    <t xml:space="preserve">Source: SHRM / Deloitte HR benchmarks</t>
  </si>
  <si>
    <t xml:space="preserve">Eligible employees</t>
  </si>
  <si>
    <t xml:space="preserve">Stars, High Performers, High Potentials above grade baseline</t>
  </si>
  <si>
    <t xml:space="preserve">Value of above-baseline keepers + avoided replacement cost</t>
  </si>
  <si>
    <t xml:space="preserve">HIRING PREMIUM</t>
  </si>
  <si>
    <t xml:space="preserve">(perf_surplus × salary) for recent hires above grade baseline</t>
  </si>
  <si>
    <t xml:space="preserve">Recent hire definition</t>
  </si>
  <si>
    <t xml:space="preserve">Tenure ≤ 1 year at time of assessment</t>
  </si>
  <si>
    <t xml:space="preserve">Incremental value of above-baseline new hires</t>
  </si>
  <si>
    <t xml:space="preserve">TQP = Performance Premium + Retention Premium + Hiring Premium</t>
  </si>
  <si>
    <t xml:space="preserve">HCI-Adjusted TQP = TQP × HCI Coefficient</t>
  </si>
  <si>
    <t xml:space="preserve">BOARD-READY INTELLIGENCE STATEMENT</t>
  </si>
  <si>
    <t xml:space="preserve">Copy this statement into your board pack, CEO presentation, or CFO briefing</t>
  </si>
  <si>
    <t xml:space="preserve">TALENT QUALITY PREMIUM</t>
  </si>
  <si>
    <t xml:space="preserve">[Organisation name] generated a Talent Quality Premium of [TQP value] for [assessment period], representing the financial value of having better-than-average people at the same compensation cost. This premium is [X]% above / below the market average across comparable organisations.</t>
  </si>
  <si>
    <t xml:space="preserve">Promotion Accuracy scored [score]/100 ([Strong/Watch/Weak] vs market average of 85). [Paste key finding from platform.]</t>
  </si>
  <si>
    <t xml:space="preserve">Manager Quality scored [score]/100 ([Strong/Watch/Weak] vs market average of 62). [Paste key finding from platform.]</t>
  </si>
  <si>
    <t xml:space="preserve">Hiring Quality scored [score]/100 ([Strong/Watch/Weak] vs market average of 46). [Paste key finding from platform.]</t>
  </si>
  <si>
    <t xml:space="preserve">Selective Retention scored [score]/100 ([Strong/Watch/Weak] vs market average of 59). [Paste key finding from platform.]</t>
  </si>
  <si>
    <t xml:space="preserve">HiPo Identification scored [score]/100 ([Strong/Watch/Weak] vs market average of 40). [Paste key finding from platform.]</t>
  </si>
  <si>
    <t xml:space="preserve">Addressing the [Watch/Weak] verdict areas through [lever names] is projected to increase the Talent Quality Premium to [projected TQP] under the Your Assessment scenario — an uplift of [uplift value] ([uplift %]).</t>
  </si>
  <si>
    <t xml:space="preserve">HUMACITY POSITION</t>
  </si>
  <si>
    <t xml:space="preserve">[Organisation name]'s Humacity position is [improving / stable / deteriorating]. The primary driver is [dominant component]. The primary risk is [Watch/Weak verdict area]. The net effect on the Human P&amp;L is a [positive / compressed] Human Gross Margin of [%].</t>
  </si>
  <si>
    <t xml:space="preserve">SOURCE NOTE</t>
  </si>
  <si>
    <t xml:space="preserve">All figures computed from Revenue Fluent L2 Talent Premium model. Data foundation: [scenario name] · [employee count] employees · [currency] · [assessment period]. Methodology available in 04 · HCI &amp; Workings tab.</t>
  </si>
  <si>
    <t xml:space="preserve">INSTRUCTIONS: Replace all [bracketed text] with your actual values from the Revenue Fluent platform and this model. This statement is designed to be copied directly into a board presentation.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</si>
</sst>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"/>
    <numFmt numFmtId="166" formatCode="0.0%"/>
    <numFmt numFmtId="167" formatCode="\+0;\-0;0"/>
    <numFmt numFmtId="168" formatCode="0"/>
    <numFmt numFmtId="169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ED8E8"/>
      <name val="Arial"/>
      <family val="0"/>
      <charset val="1"/>
    </font>
    <font>
      <i val="true"/>
      <sz val="9"/>
      <color rgb="FFC8A8C0"/>
      <name val="Arial"/>
      <family val="0"/>
      <charset val="1"/>
    </font>
    <font>
      <b val="true"/>
      <sz val="8"/>
      <color rgb="FFD878BC"/>
      <name val="Arial"/>
      <family val="0"/>
      <charset val="1"/>
    </font>
    <font>
      <b val="true"/>
      <sz val="10"/>
      <color rgb="FFEED8E8"/>
      <name val="Arial"/>
      <family val="0"/>
      <charset val="1"/>
    </font>
    <font>
      <b val="true"/>
      <sz val="10"/>
      <color rgb="FFE0B830"/>
      <name val="Arial"/>
      <family val="0"/>
      <charset val="1"/>
    </font>
    <font>
      <sz val="10"/>
      <color rgb="FFE0B830"/>
      <name val="Arial"/>
      <family val="0"/>
      <charset val="1"/>
    </font>
    <font>
      <sz val="9"/>
      <color rgb="FFEED8E8"/>
      <name val="Arial"/>
      <family val="0"/>
      <charset val="1"/>
    </font>
    <font>
      <sz val="9"/>
      <color rgb="FFE0B830"/>
      <name val="Arial"/>
      <family val="0"/>
      <charset val="1"/>
    </font>
    <font>
      <sz val="9"/>
      <color rgb="FFC8A8C0"/>
      <name val="Arial"/>
      <family val="0"/>
      <charset val="1"/>
    </font>
    <font>
      <b val="true"/>
      <sz val="9"/>
      <color rgb="FFC8A8C0"/>
      <name val="Arial"/>
      <family val="0"/>
      <charset val="1"/>
    </font>
    <font>
      <b val="true"/>
      <sz val="22"/>
      <color rgb="FFE0B830"/>
      <name val="Arial"/>
      <family val="0"/>
      <charset val="1"/>
    </font>
    <font>
      <sz val="9"/>
      <color rgb="FFE8C87A"/>
      <name val="Arial"/>
      <family val="0"/>
      <charset val="1"/>
    </font>
    <font>
      <b val="true"/>
      <sz val="9"/>
      <color rgb="FF38C490"/>
      <name val="Arial"/>
      <family val="0"/>
      <charset val="1"/>
    </font>
    <font>
      <b val="true"/>
      <sz val="9"/>
      <color rgb="FFD878BC"/>
      <name val="Arial"/>
      <family val="0"/>
      <charset val="1"/>
    </font>
    <font>
      <sz val="9"/>
      <color rgb="FFD8B8D0"/>
      <name val="Arial"/>
      <family val="0"/>
      <charset val="1"/>
    </font>
    <font>
      <b val="true"/>
      <sz val="9"/>
      <color rgb="FFEED8E8"/>
      <name val="Arial"/>
      <family val="0"/>
      <charset val="1"/>
    </font>
    <font>
      <b val="true"/>
      <sz val="9"/>
      <color rgb="FFE0B830"/>
      <name val="Arial"/>
      <family val="0"/>
      <charset val="1"/>
    </font>
    <font>
      <sz val="8"/>
      <color rgb="FFC8A8C0"/>
      <name val="Arial"/>
      <family val="0"/>
      <charset val="1"/>
    </font>
    <font>
      <sz val="9"/>
      <color rgb="FF38C490"/>
      <name val="Arial"/>
      <family val="0"/>
      <charset val="1"/>
    </font>
    <font>
      <b val="true"/>
      <sz val="12"/>
      <color rgb="FFE0B830"/>
      <name val="Arial"/>
      <family val="0"/>
      <charset val="1"/>
    </font>
    <font>
      <i val="true"/>
      <sz val="8"/>
      <color rgb="FFC8A8C0"/>
      <name val="Arial"/>
      <family val="0"/>
      <charset val="1"/>
    </font>
    <font>
      <b val="true"/>
      <sz val="12"/>
      <color rgb="FFEED8E8"/>
      <name val="Arial"/>
      <family val="0"/>
      <charset val="1"/>
    </font>
    <font>
      <b val="true"/>
      <sz val="14"/>
      <color rgb="FFE0B830"/>
      <name val="Arial"/>
      <family val="0"/>
      <charset val="1"/>
    </font>
    <font>
      <b val="true"/>
      <sz val="10"/>
      <color rgb="FF38C490"/>
      <name val="Arial"/>
      <family val="0"/>
      <charset val="1"/>
    </font>
    <font>
      <sz val="8"/>
      <color rgb="FFD878BC"/>
      <name val="Arial"/>
      <family val="0"/>
      <charset val="1"/>
    </font>
    <font>
      <i val="true"/>
      <sz val="9"/>
      <color rgb="FFD8B8D0"/>
      <name val="Arial"/>
      <family val="0"/>
      <charset val="1"/>
    </font>
    <font>
      <b val="true"/>
      <sz val="12"/>
      <color rgb="FF38C490"/>
      <name val="Arial"/>
      <family val="0"/>
      <charset val="1"/>
    </font>
    <font>
      <sz val="8"/>
      <color rgb="FFD8B8D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A0608"/>
        <bgColor rgb="FF000000"/>
      </patternFill>
    </fill>
    <fill>
      <patternFill patternType="solid">
        <fgColor rgb="FF1A0818"/>
        <bgColor rgb="FF2A0828"/>
      </patternFill>
    </fill>
    <fill>
      <patternFill patternType="solid">
        <fgColor rgb="FF2A1428"/>
        <bgColor rgb="FF2A0828"/>
      </patternFill>
    </fill>
    <fill>
      <patternFill patternType="solid">
        <fgColor rgb="FF2A0828"/>
        <bgColor rgb="FF2A1428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5A1A4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1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4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0818"/>
      <rgbColor rgb="FF808000"/>
      <rgbColor rgb="FF800080"/>
      <rgbColor rgb="FF008080"/>
      <rgbColor rgb="FFD8B8D0"/>
      <rgbColor rgb="FF808080"/>
      <rgbColor rgb="FF9999FF"/>
      <rgbColor rgb="FF993366"/>
      <rgbColor rgb="FFFFFFCC"/>
      <rgbColor rgb="FFCCFFFF"/>
      <rgbColor rgb="FF5A1A4A"/>
      <rgbColor rgb="FFD878BC"/>
      <rgbColor rgb="FF0066CC"/>
      <rgbColor rgb="FFEE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8A8C0"/>
      <rgbColor rgb="FFE8C87A"/>
      <rgbColor rgb="FF3366FF"/>
      <rgbColor rgb="FF38C490"/>
      <rgbColor rgb="FF99CC00"/>
      <rgbColor rgb="FFE0B830"/>
      <rgbColor rgb="FFFF9900"/>
      <rgbColor rgb="FFFF6600"/>
      <rgbColor rgb="FF666699"/>
      <rgbColor rgb="FF969696"/>
      <rgbColor rgb="FF003366"/>
      <rgbColor rgb="FF339966"/>
      <rgbColor rgb="FF0A0608"/>
      <rgbColor rgb="FF2A0828"/>
      <rgbColor rgb="FF993300"/>
      <rgbColor rgb="FF993366"/>
      <rgbColor rgb="FF333399"/>
      <rgbColor rgb="FF2A14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5" min="3" style="1" width="18"/>
    <col collapsed="false" customWidth="true" hidden="false" outlineLevel="0" max="6" min="6" style="1" width="3"/>
    <col collapsed="false" customWidth="true" hidden="false" outlineLevel="0" max="7" min="7" style="1" width="22"/>
    <col collapsed="false" customWidth="true" hidden="false" outlineLevel="0" max="8" min="8" style="1" width="18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B3" s="4" t="s">
        <v>2</v>
      </c>
      <c r="C3" s="4"/>
      <c r="D3" s="4"/>
      <c r="E3" s="4"/>
    </row>
    <row r="4" customFormat="false" ht="18" hidden="false" customHeight="true" outlineLevel="0" collapsed="false">
      <c r="B4" s="5" t="s">
        <v>3</v>
      </c>
      <c r="C4" s="6" t="s">
        <v>4</v>
      </c>
      <c r="D4" s="7"/>
      <c r="E4" s="7"/>
    </row>
    <row r="5" customFormat="false" ht="16.5" hidden="false" customHeight="true" outlineLevel="0" collapsed="false">
      <c r="B5" s="8" t="s">
        <v>5</v>
      </c>
      <c r="C5" s="9" t="s">
        <v>6</v>
      </c>
      <c r="D5" s="10" t="s">
        <v>7</v>
      </c>
    </row>
    <row r="6" customFormat="false" ht="16.5" hidden="false" customHeight="true" outlineLevel="0" collapsed="false">
      <c r="B6" s="8" t="s">
        <v>8</v>
      </c>
      <c r="C6" s="9" t="s">
        <v>9</v>
      </c>
      <c r="D6" s="10" t="s">
        <v>10</v>
      </c>
    </row>
    <row r="7" customFormat="false" ht="16.5" hidden="false" customHeight="true" outlineLevel="0" collapsed="false">
      <c r="B7" s="8" t="s">
        <v>11</v>
      </c>
      <c r="C7" s="9" t="s">
        <v>12</v>
      </c>
      <c r="D7" s="10" t="s">
        <v>13</v>
      </c>
    </row>
    <row r="8" customFormat="false" ht="16.5" hidden="false" customHeight="true" outlineLevel="0" collapsed="false">
      <c r="B8" s="8" t="s">
        <v>14</v>
      </c>
      <c r="C8" s="9" t="s">
        <v>15</v>
      </c>
      <c r="D8" s="10" t="s">
        <v>16</v>
      </c>
    </row>
    <row r="9" customFormat="false" ht="16.5" hidden="false" customHeight="true" outlineLevel="0" collapsed="false">
      <c r="B9" s="8" t="s">
        <v>17</v>
      </c>
      <c r="C9" s="9" t="s">
        <v>18</v>
      </c>
      <c r="D9" s="10" t="s">
        <v>13</v>
      </c>
    </row>
    <row r="10" customFormat="false" ht="7.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customFormat="false" ht="15" hidden="false" customHeight="true" outlineLevel="0" collapsed="false">
      <c r="B11" s="4" t="s">
        <v>19</v>
      </c>
      <c r="C11" s="4"/>
      <c r="D11" s="4"/>
      <c r="E11" s="4"/>
    </row>
    <row r="12" customFormat="false" ht="48" hidden="false" customHeight="true" outlineLevel="0" collapsed="false">
      <c r="B12" s="12" t="s">
        <v>20</v>
      </c>
      <c r="C12" s="13" t="s">
        <v>21</v>
      </c>
      <c r="D12" s="13"/>
      <c r="E12" s="13"/>
    </row>
    <row r="13" customFormat="false" ht="16.5" hidden="false" customHeight="true" outlineLevel="0" collapsed="false">
      <c r="B13" s="8" t="s">
        <v>22</v>
      </c>
      <c r="C13" s="14" t="s">
        <v>23</v>
      </c>
      <c r="D13" s="15" t="s">
        <v>24</v>
      </c>
    </row>
    <row r="14" customFormat="false" ht="16.5" hidden="false" customHeight="true" outlineLevel="0" collapsed="false">
      <c r="B14" s="8" t="s">
        <v>25</v>
      </c>
      <c r="C14" s="16" t="str">
        <f aca="false">IFERROR(C12*C13,"")</f>
        <v/>
      </c>
      <c r="D14" s="15" t="s">
        <v>26</v>
      </c>
    </row>
    <row r="15" customFormat="false" ht="7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customFormat="false" ht="15" hidden="false" customHeight="true" outlineLevel="0" collapsed="false">
      <c r="B16" s="4" t="s">
        <v>27</v>
      </c>
      <c r="C16" s="4"/>
      <c r="D16" s="4"/>
      <c r="E16" s="4"/>
    </row>
    <row r="17" customFormat="false" ht="15" hidden="false" customHeight="true" outlineLevel="0" collapsed="false">
      <c r="B17" s="17" t="s">
        <v>28</v>
      </c>
      <c r="C17" s="17" t="s">
        <v>29</v>
      </c>
      <c r="D17" s="17" t="s">
        <v>30</v>
      </c>
      <c r="E17" s="17" t="s">
        <v>31</v>
      </c>
    </row>
    <row r="18" customFormat="false" ht="16.5" hidden="false" customHeight="true" outlineLevel="0" collapsed="false">
      <c r="B18" s="8" t="s">
        <v>32</v>
      </c>
      <c r="C18" s="18" t="s">
        <v>33</v>
      </c>
      <c r="D18" s="19" t="str">
        <f aca="false">IFERROR(C18/C12,"-")</f>
        <v>-</v>
      </c>
      <c r="E18" s="20" t="s">
        <v>34</v>
      </c>
    </row>
    <row r="19" customFormat="false" ht="16.5" hidden="false" customHeight="true" outlineLevel="0" collapsed="false">
      <c r="B19" s="21" t="s">
        <v>35</v>
      </c>
      <c r="C19" s="22" t="s">
        <v>33</v>
      </c>
      <c r="D19" s="23" t="str">
        <f aca="false">IFERROR(C19/C12,"-")</f>
        <v>-</v>
      </c>
      <c r="E19" s="10" t="s">
        <v>36</v>
      </c>
    </row>
    <row r="20" customFormat="false" ht="16.5" hidden="false" customHeight="true" outlineLevel="0" collapsed="false">
      <c r="B20" s="8" t="s">
        <v>37</v>
      </c>
      <c r="C20" s="18" t="s">
        <v>33</v>
      </c>
      <c r="D20" s="19" t="str">
        <f aca="false">IFERROR(C20/C12,"-")</f>
        <v>-</v>
      </c>
      <c r="E20" s="20" t="s">
        <v>38</v>
      </c>
    </row>
    <row r="21" customFormat="false" ht="18" hidden="false" customHeight="true" outlineLevel="0" collapsed="false">
      <c r="B21" s="24" t="s">
        <v>39</v>
      </c>
      <c r="C21" s="25" t="n">
        <f aca="false">SUM(C18:C20)</f>
        <v>0</v>
      </c>
      <c r="D21" s="26" t="str">
        <f aca="false">IFERROR(C21/C12,"-")</f>
        <v>-</v>
      </c>
      <c r="E21" s="24" t="s">
        <v>40</v>
      </c>
    </row>
    <row r="22" customFormat="false" ht="7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customFormat="false" ht="15" hidden="false" customHeight="true" outlineLevel="0" collapsed="false">
      <c r="B23" s="4" t="s">
        <v>41</v>
      </c>
      <c r="C23" s="4"/>
      <c r="D23" s="4"/>
      <c r="E23" s="4"/>
    </row>
    <row r="24" customFormat="false" ht="15" hidden="false" customHeight="true" outlineLevel="0" collapsed="false">
      <c r="B24" s="17" t="s">
        <v>42</v>
      </c>
      <c r="C24" s="17" t="s">
        <v>43</v>
      </c>
      <c r="D24" s="17" t="s">
        <v>44</v>
      </c>
      <c r="E24" s="17" t="s">
        <v>45</v>
      </c>
    </row>
    <row r="25" customFormat="false" ht="16.5" hidden="false" customHeight="true" outlineLevel="0" collapsed="false">
      <c r="B25" s="8" t="s">
        <v>46</v>
      </c>
      <c r="C25" s="27" t="s">
        <v>33</v>
      </c>
      <c r="E25" s="28" t="s">
        <v>47</v>
      </c>
    </row>
    <row r="26" customFormat="false" ht="16.5" hidden="false" customHeight="true" outlineLevel="0" collapsed="false">
      <c r="B26" s="21" t="s">
        <v>48</v>
      </c>
      <c r="C26" s="29" t="str">
        <f aca="false">C12</f>
        <v>[Enter TQP from platform]</v>
      </c>
      <c r="E26" s="30" t="s">
        <v>49</v>
      </c>
    </row>
    <row r="27" customFormat="false" ht="16.5" hidden="false" customHeight="true" outlineLevel="0" collapsed="false">
      <c r="B27" s="8" t="s">
        <v>50</v>
      </c>
      <c r="C27" s="31" t="str">
        <f aca="false">IFERROR(C26-C25,"")</f>
        <v/>
      </c>
      <c r="E27" s="28" t="s">
        <v>51</v>
      </c>
    </row>
    <row r="28" customFormat="false" ht="7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customFormat="false" ht="15" hidden="false" customHeight="true" outlineLevel="0" collapsed="false">
      <c r="B29" s="4" t="s">
        <v>52</v>
      </c>
      <c r="C29" s="4"/>
      <c r="D29" s="4"/>
      <c r="E29" s="4"/>
    </row>
    <row r="30" customFormat="false" ht="15" hidden="false" customHeight="true" outlineLevel="0" collapsed="false">
      <c r="B30" s="17" t="s">
        <v>53</v>
      </c>
      <c r="C30" s="17" t="s">
        <v>54</v>
      </c>
      <c r="D30" s="17" t="s">
        <v>55</v>
      </c>
      <c r="E30" s="17" t="s">
        <v>56</v>
      </c>
    </row>
    <row r="31" customFormat="false" ht="16.5" hidden="false" customHeight="true" outlineLevel="0" collapsed="false">
      <c r="B31" s="8" t="s">
        <v>57</v>
      </c>
      <c r="C31" s="32" t="s">
        <v>33</v>
      </c>
      <c r="D31" s="33" t="str">
        <f aca="false">IF(C31="[Enter from platform]","",IF(C31&gt;=70,"Strong",IF(C31&gt;=50,"Watch","Weak")))</f>
        <v/>
      </c>
      <c r="E31" s="34" t="str">
        <f aca="false">IF(C31="[Enter from platform]","",C31-85)</f>
        <v/>
      </c>
    </row>
    <row r="32" customFormat="false" ht="16.5" hidden="false" customHeight="true" outlineLevel="0" collapsed="false">
      <c r="B32" s="21" t="s">
        <v>58</v>
      </c>
      <c r="C32" s="35" t="s">
        <v>33</v>
      </c>
      <c r="D32" s="36" t="str">
        <f aca="false">IF(C32="[Enter from platform]","",IF(C32&gt;=70,"Strong",IF(C32&gt;=50,"Watch","Weak")))</f>
        <v/>
      </c>
      <c r="E32" s="37" t="str">
        <f aca="false">IF(C32="[Enter from platform]","",C32-62)</f>
        <v/>
      </c>
    </row>
    <row r="33" customFormat="false" ht="16.5" hidden="false" customHeight="true" outlineLevel="0" collapsed="false">
      <c r="B33" s="8" t="s">
        <v>59</v>
      </c>
      <c r="C33" s="32" t="s">
        <v>33</v>
      </c>
      <c r="D33" s="33" t="str">
        <f aca="false">IF(C33="[Enter from platform]","",IF(C33&gt;=70,"Strong",IF(C33&gt;=50,"Watch","Weak")))</f>
        <v/>
      </c>
      <c r="E33" s="34" t="str">
        <f aca="false">IF(C33="[Enter from platform]","",C33-46)</f>
        <v/>
      </c>
    </row>
    <row r="34" customFormat="false" ht="16.5" hidden="false" customHeight="true" outlineLevel="0" collapsed="false">
      <c r="B34" s="21" t="s">
        <v>60</v>
      </c>
      <c r="C34" s="35" t="s">
        <v>33</v>
      </c>
      <c r="D34" s="36" t="str">
        <f aca="false">IF(C34="[Enter from platform]","",IF(C34&gt;=70,"Strong",IF(C34&gt;=50,"Watch","Weak")))</f>
        <v/>
      </c>
      <c r="E34" s="37" t="str">
        <f aca="false">IF(C34="[Enter from platform]","",C34-59)</f>
        <v/>
      </c>
    </row>
    <row r="35" customFormat="false" ht="16.5" hidden="false" customHeight="true" outlineLevel="0" collapsed="false">
      <c r="B35" s="8" t="s">
        <v>61</v>
      </c>
      <c r="C35" s="32" t="s">
        <v>33</v>
      </c>
      <c r="D35" s="33" t="str">
        <f aca="false">IF(C35="[Enter from platform]","",IF(C35&gt;=70,"Strong",IF(C35&gt;=50,"Watch","Weak")))</f>
        <v/>
      </c>
      <c r="E35" s="34" t="str">
        <f aca="false">IF(C35="[Enter from platform]","",C35-40)</f>
        <v/>
      </c>
    </row>
    <row r="36" customFormat="false" ht="18" hidden="false" customHeight="true" outlineLevel="0" collapsed="false">
      <c r="B36" s="24" t="s">
        <v>62</v>
      </c>
      <c r="C36" s="38" t="str">
        <f aca="false">IFERROR(AVERAGE(C31,C32,C33,C34,C35),"")</f>
        <v/>
      </c>
      <c r="D36" s="39" t="str">
        <f aca="false">IF(C36="","",IF(C36&gt;=70,"Strong",IF(C36&gt;=50,"Watch","Weak")))</f>
        <v/>
      </c>
    </row>
    <row r="38" customFormat="false" ht="15" hidden="false" customHeight="true" outlineLevel="0" collapsed="false">
      <c r="B38" s="40" t="s">
        <v>63</v>
      </c>
      <c r="C38" s="40"/>
      <c r="D38" s="40"/>
      <c r="E38" s="40"/>
    </row>
  </sheetData>
  <mergeCells count="9">
    <mergeCell ref="A1:H1"/>
    <mergeCell ref="A2:H2"/>
    <mergeCell ref="B3:E3"/>
    <mergeCell ref="B11:E11"/>
    <mergeCell ref="C12:E12"/>
    <mergeCell ref="B16:E16"/>
    <mergeCell ref="B23:E23"/>
    <mergeCell ref="B29:E29"/>
    <mergeCell ref="B38:E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6" min="5" style="1" width="22"/>
    <col collapsed="false" customWidth="true" hidden="false" outlineLevel="0" max="7" min="7" style="1" width="3"/>
  </cols>
  <sheetData>
    <row r="1" customFormat="false" ht="25.5" hidden="false" customHeight="true" outlineLevel="0" collapsed="false">
      <c r="A1" s="2" t="s">
        <v>64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65</v>
      </c>
      <c r="B2" s="3"/>
      <c r="C2" s="3"/>
      <c r="D2" s="3"/>
      <c r="E2" s="3"/>
      <c r="F2" s="3"/>
      <c r="G2" s="3"/>
      <c r="H2" s="3"/>
    </row>
    <row r="3" customFormat="false" ht="6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</row>
    <row r="4" customFormat="false" ht="21.75" hidden="false" customHeight="true" outlineLevel="0" collapsed="false">
      <c r="B4" s="41" t="s">
        <v>66</v>
      </c>
      <c r="C4" s="41"/>
      <c r="D4" s="41"/>
      <c r="E4" s="41"/>
      <c r="F4" s="41"/>
    </row>
    <row r="5" customFormat="false" ht="30" hidden="false" customHeight="true" outlineLevel="0" collapsed="false">
      <c r="B5" s="42" t="s">
        <v>67</v>
      </c>
      <c r="C5" s="42"/>
      <c r="D5" s="42"/>
      <c r="E5" s="42"/>
      <c r="F5" s="42"/>
    </row>
    <row r="6" customFormat="false" ht="15" hidden="false" customHeight="true" outlineLevel="0" collapsed="false">
      <c r="B6" s="17" t="s">
        <v>68</v>
      </c>
      <c r="C6" s="17" t="s">
        <v>69</v>
      </c>
      <c r="D6" s="17" t="s">
        <v>70</v>
      </c>
      <c r="E6" s="17" t="s">
        <v>31</v>
      </c>
    </row>
    <row r="7" customFormat="false" ht="16.5" hidden="false" customHeight="true" outlineLevel="0" collapsed="false">
      <c r="B7" s="21" t="s">
        <v>71</v>
      </c>
      <c r="C7" s="9" t="s">
        <v>6</v>
      </c>
      <c r="D7" s="10"/>
      <c r="E7" s="10" t="s">
        <v>72</v>
      </c>
    </row>
    <row r="8" customFormat="false" ht="16.5" hidden="false" customHeight="true" outlineLevel="0" collapsed="false">
      <c r="B8" s="21" t="s">
        <v>73</v>
      </c>
      <c r="C8" s="9" t="s">
        <v>6</v>
      </c>
      <c r="D8" s="10"/>
      <c r="E8" s="10" t="s">
        <v>74</v>
      </c>
    </row>
    <row r="9" customFormat="false" ht="27.75" hidden="false" customHeight="true" outlineLevel="0" collapsed="false">
      <c r="B9" s="24" t="s">
        <v>75</v>
      </c>
      <c r="C9" s="43" t="s">
        <v>33</v>
      </c>
      <c r="D9" s="44" t="n">
        <v>85</v>
      </c>
      <c r="E9" s="45" t="s">
        <v>76</v>
      </c>
    </row>
    <row r="10" customFormat="false" ht="16.5" hidden="false" customHeight="true" outlineLevel="0" collapsed="false">
      <c r="B10" s="10" t="s">
        <v>55</v>
      </c>
      <c r="C10" s="46" t="str">
        <f aca="false">IF(C9="[Enter from platform]","",IF(C9&gt;=70,"STRONG",IF(C9&gt;=50,"WATCH","WEAK")))</f>
        <v/>
      </c>
      <c r="D10" s="37" t="str">
        <f aca="false">IF(C9="[Enter from platform]","",C9-85)</f>
        <v/>
      </c>
      <c r="E10" s="30" t="s">
        <v>77</v>
      </c>
    </row>
    <row r="11" customFormat="false" ht="16.5" hidden="false" customHeight="true" outlineLevel="0" collapsed="false">
      <c r="B11" s="21" t="s">
        <v>78</v>
      </c>
      <c r="C11" s="47" t="s">
        <v>6</v>
      </c>
      <c r="E11" s="10" t="s">
        <v>79</v>
      </c>
    </row>
    <row r="12" customFormat="false" ht="16.5" hidden="false" customHeight="true" outlineLevel="0" collapsed="false">
      <c r="B12" s="21" t="s">
        <v>80</v>
      </c>
      <c r="C12" s="47" t="s">
        <v>6</v>
      </c>
      <c r="E12" s="10" t="s">
        <v>81</v>
      </c>
    </row>
    <row r="13" customFormat="false" ht="42" hidden="false" customHeight="true" outlineLevel="0" collapsed="false">
      <c r="B13" s="48" t="s">
        <v>82</v>
      </c>
      <c r="C13" s="49" t="s">
        <v>83</v>
      </c>
      <c r="D13" s="49"/>
      <c r="E13" s="49"/>
      <c r="F13" s="49"/>
    </row>
    <row r="14" customFormat="false" ht="6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</row>
    <row r="15" customFormat="false" ht="21.75" hidden="false" customHeight="true" outlineLevel="0" collapsed="false">
      <c r="B15" s="41" t="s">
        <v>84</v>
      </c>
      <c r="C15" s="41"/>
      <c r="D15" s="41"/>
      <c r="E15" s="41"/>
      <c r="F15" s="41"/>
    </row>
    <row r="16" customFormat="false" ht="30" hidden="false" customHeight="true" outlineLevel="0" collapsed="false">
      <c r="B16" s="42" t="s">
        <v>85</v>
      </c>
      <c r="C16" s="42"/>
      <c r="D16" s="42"/>
      <c r="E16" s="42"/>
      <c r="F16" s="42"/>
    </row>
    <row r="17" customFormat="false" ht="15" hidden="false" customHeight="true" outlineLevel="0" collapsed="false">
      <c r="B17" s="17" t="s">
        <v>68</v>
      </c>
      <c r="C17" s="17" t="s">
        <v>69</v>
      </c>
      <c r="D17" s="17" t="s">
        <v>70</v>
      </c>
      <c r="E17" s="17" t="s">
        <v>31</v>
      </c>
    </row>
    <row r="18" customFormat="false" ht="16.5" hidden="false" customHeight="true" outlineLevel="0" collapsed="false">
      <c r="B18" s="21" t="s">
        <v>86</v>
      </c>
      <c r="C18" s="9" t="s">
        <v>6</v>
      </c>
      <c r="D18" s="10"/>
      <c r="E18" s="10" t="s">
        <v>87</v>
      </c>
    </row>
    <row r="19" customFormat="false" ht="16.5" hidden="false" customHeight="true" outlineLevel="0" collapsed="false">
      <c r="B19" s="21" t="s">
        <v>88</v>
      </c>
      <c r="C19" s="9" t="s">
        <v>6</v>
      </c>
      <c r="D19" s="10"/>
      <c r="E19" s="10" t="s">
        <v>89</v>
      </c>
    </row>
    <row r="20" customFormat="false" ht="27.75" hidden="false" customHeight="true" outlineLevel="0" collapsed="false">
      <c r="B20" s="24" t="s">
        <v>90</v>
      </c>
      <c r="C20" s="43" t="s">
        <v>33</v>
      </c>
      <c r="D20" s="44" t="n">
        <v>62</v>
      </c>
      <c r="E20" s="45" t="s">
        <v>91</v>
      </c>
    </row>
    <row r="21" customFormat="false" ht="16.5" hidden="false" customHeight="true" outlineLevel="0" collapsed="false">
      <c r="B21" s="10" t="s">
        <v>55</v>
      </c>
      <c r="C21" s="46" t="str">
        <f aca="false">IF(C20="[Enter from platform]","",IF(C20&gt;=70,"STRONG",IF(C20&gt;=50,"WATCH","WEAK")))</f>
        <v/>
      </c>
      <c r="D21" s="37" t="str">
        <f aca="false">IF(C20="[Enter from platform]","",C20-62)</f>
        <v/>
      </c>
      <c r="E21" s="30" t="s">
        <v>77</v>
      </c>
    </row>
    <row r="22" customFormat="false" ht="16.5" hidden="false" customHeight="true" outlineLevel="0" collapsed="false">
      <c r="B22" s="21" t="s">
        <v>92</v>
      </c>
      <c r="C22" s="47" t="s">
        <v>93</v>
      </c>
      <c r="E22" s="10" t="s">
        <v>94</v>
      </c>
    </row>
    <row r="23" customFormat="false" ht="16.5" hidden="false" customHeight="true" outlineLevel="0" collapsed="false">
      <c r="B23" s="21" t="s">
        <v>95</v>
      </c>
      <c r="C23" s="47" t="s">
        <v>6</v>
      </c>
      <c r="E23" s="10" t="s">
        <v>96</v>
      </c>
    </row>
    <row r="24" customFormat="false" ht="42" hidden="false" customHeight="true" outlineLevel="0" collapsed="false">
      <c r="B24" s="48" t="s">
        <v>82</v>
      </c>
      <c r="C24" s="49" t="s">
        <v>83</v>
      </c>
      <c r="D24" s="49"/>
      <c r="E24" s="49"/>
      <c r="F24" s="49"/>
    </row>
    <row r="25" customFormat="false" ht="6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customFormat="false" ht="21.75" hidden="false" customHeight="true" outlineLevel="0" collapsed="false">
      <c r="B26" s="41" t="s">
        <v>97</v>
      </c>
      <c r="C26" s="41"/>
      <c r="D26" s="41"/>
      <c r="E26" s="41"/>
      <c r="F26" s="41"/>
    </row>
    <row r="27" customFormat="false" ht="30" hidden="false" customHeight="true" outlineLevel="0" collapsed="false">
      <c r="B27" s="42" t="s">
        <v>98</v>
      </c>
      <c r="C27" s="42"/>
      <c r="D27" s="42"/>
      <c r="E27" s="42"/>
      <c r="F27" s="42"/>
    </row>
    <row r="28" customFormat="false" ht="15" hidden="false" customHeight="true" outlineLevel="0" collapsed="false">
      <c r="B28" s="17" t="s">
        <v>68</v>
      </c>
      <c r="C28" s="17" t="s">
        <v>69</v>
      </c>
      <c r="D28" s="17" t="s">
        <v>70</v>
      </c>
      <c r="E28" s="17" t="s">
        <v>31</v>
      </c>
    </row>
    <row r="29" customFormat="false" ht="16.5" hidden="false" customHeight="true" outlineLevel="0" collapsed="false">
      <c r="B29" s="21" t="s">
        <v>99</v>
      </c>
      <c r="C29" s="9" t="s">
        <v>6</v>
      </c>
      <c r="D29" s="10"/>
      <c r="E29" s="10" t="s">
        <v>100</v>
      </c>
    </row>
    <row r="30" customFormat="false" ht="16.5" hidden="false" customHeight="true" outlineLevel="0" collapsed="false">
      <c r="B30" s="21" t="s">
        <v>101</v>
      </c>
      <c r="C30" s="9" t="s">
        <v>6</v>
      </c>
      <c r="D30" s="10"/>
      <c r="E30" s="10" t="s">
        <v>102</v>
      </c>
    </row>
    <row r="31" customFormat="false" ht="27.75" hidden="false" customHeight="true" outlineLevel="0" collapsed="false">
      <c r="B31" s="24" t="s">
        <v>103</v>
      </c>
      <c r="C31" s="43" t="s">
        <v>33</v>
      </c>
      <c r="D31" s="44" t="n">
        <v>46</v>
      </c>
      <c r="E31" s="45" t="s">
        <v>104</v>
      </c>
    </row>
    <row r="32" customFormat="false" ht="16.5" hidden="false" customHeight="true" outlineLevel="0" collapsed="false">
      <c r="B32" s="10" t="s">
        <v>55</v>
      </c>
      <c r="C32" s="46" t="str">
        <f aca="false">IF(C31="[Enter from platform]","",IF(C31&gt;=70,"STRONG",IF(C31&gt;=50,"WATCH","WEAK")))</f>
        <v/>
      </c>
      <c r="D32" s="37" t="str">
        <f aca="false">IF(C31="[Enter from platform]","",C31-46)</f>
        <v/>
      </c>
      <c r="E32" s="30" t="s">
        <v>77</v>
      </c>
    </row>
    <row r="33" customFormat="false" ht="16.5" hidden="false" customHeight="true" outlineLevel="0" collapsed="false">
      <c r="B33" s="21" t="s">
        <v>105</v>
      </c>
      <c r="C33" s="47" t="s">
        <v>6</v>
      </c>
      <c r="E33" s="10" t="s">
        <v>106</v>
      </c>
    </row>
    <row r="34" customFormat="false" ht="16.5" hidden="false" customHeight="true" outlineLevel="0" collapsed="false">
      <c r="B34" s="21" t="s">
        <v>107</v>
      </c>
      <c r="C34" s="47" t="s">
        <v>108</v>
      </c>
      <c r="E34" s="10" t="s">
        <v>109</v>
      </c>
    </row>
    <row r="35" customFormat="false" ht="42" hidden="false" customHeight="true" outlineLevel="0" collapsed="false">
      <c r="B35" s="48" t="s">
        <v>82</v>
      </c>
      <c r="C35" s="49" t="s">
        <v>83</v>
      </c>
      <c r="D35" s="49"/>
      <c r="E35" s="49"/>
      <c r="F35" s="49"/>
    </row>
    <row r="36" customFormat="false" ht="6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customFormat="false" ht="21.75" hidden="false" customHeight="true" outlineLevel="0" collapsed="false">
      <c r="B37" s="41" t="s">
        <v>110</v>
      </c>
      <c r="C37" s="41"/>
      <c r="D37" s="41"/>
      <c r="E37" s="41"/>
      <c r="F37" s="41"/>
    </row>
    <row r="38" customFormat="false" ht="30" hidden="false" customHeight="true" outlineLevel="0" collapsed="false">
      <c r="B38" s="42" t="s">
        <v>111</v>
      </c>
      <c r="C38" s="42"/>
      <c r="D38" s="42"/>
      <c r="E38" s="42"/>
      <c r="F38" s="42"/>
    </row>
    <row r="39" customFormat="false" ht="15" hidden="false" customHeight="true" outlineLevel="0" collapsed="false">
      <c r="B39" s="17" t="s">
        <v>68</v>
      </c>
      <c r="C39" s="17" t="s">
        <v>69</v>
      </c>
      <c r="D39" s="17" t="s">
        <v>70</v>
      </c>
      <c r="E39" s="17" t="s">
        <v>31</v>
      </c>
    </row>
    <row r="40" customFormat="false" ht="16.5" hidden="false" customHeight="true" outlineLevel="0" collapsed="false">
      <c r="B40" s="21" t="s">
        <v>112</v>
      </c>
      <c r="C40" s="9" t="s">
        <v>93</v>
      </c>
      <c r="D40" s="10"/>
      <c r="E40" s="10" t="s">
        <v>113</v>
      </c>
    </row>
    <row r="41" customFormat="false" ht="16.5" hidden="false" customHeight="true" outlineLevel="0" collapsed="false">
      <c r="B41" s="21" t="s">
        <v>114</v>
      </c>
      <c r="C41" s="9" t="s">
        <v>93</v>
      </c>
      <c r="D41" s="10"/>
      <c r="E41" s="10" t="s">
        <v>115</v>
      </c>
    </row>
    <row r="42" customFormat="false" ht="27.75" hidden="false" customHeight="true" outlineLevel="0" collapsed="false">
      <c r="B42" s="24" t="s">
        <v>116</v>
      </c>
      <c r="C42" s="43" t="s">
        <v>33</v>
      </c>
      <c r="D42" s="44" t="n">
        <v>59</v>
      </c>
      <c r="E42" s="50" t="s">
        <v>117</v>
      </c>
    </row>
    <row r="43" customFormat="false" ht="16.5" hidden="false" customHeight="true" outlineLevel="0" collapsed="false">
      <c r="B43" s="10" t="s">
        <v>55</v>
      </c>
      <c r="C43" s="46" t="str">
        <f aca="false">IF(C42="[Enter from platform]","",IF(C42&gt;=70,"STRONG",IF(C42&gt;=50,"WATCH","WEAK")))</f>
        <v/>
      </c>
      <c r="D43" s="37" t="str">
        <f aca="false">IF(C42="[Enter from platform]","",C42-59)</f>
        <v/>
      </c>
      <c r="E43" s="30" t="s">
        <v>77</v>
      </c>
    </row>
    <row r="44" customFormat="false" ht="16.5" hidden="false" customHeight="true" outlineLevel="0" collapsed="false">
      <c r="B44" s="21" t="s">
        <v>118</v>
      </c>
      <c r="C44" s="47" t="s">
        <v>6</v>
      </c>
      <c r="E44" s="10" t="s">
        <v>119</v>
      </c>
    </row>
    <row r="45" customFormat="false" ht="16.5" hidden="false" customHeight="true" outlineLevel="0" collapsed="false">
      <c r="B45" s="21" t="s">
        <v>120</v>
      </c>
      <c r="C45" s="47" t="s">
        <v>6</v>
      </c>
      <c r="E45" s="10" t="s">
        <v>121</v>
      </c>
    </row>
    <row r="46" customFormat="false" ht="42" hidden="false" customHeight="true" outlineLevel="0" collapsed="false">
      <c r="B46" s="48" t="s">
        <v>82</v>
      </c>
      <c r="C46" s="49" t="s">
        <v>83</v>
      </c>
      <c r="D46" s="49"/>
      <c r="E46" s="49"/>
      <c r="F46" s="49"/>
    </row>
    <row r="47" customFormat="false" ht="6" hidden="false" customHeight="tru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customFormat="false" ht="21.75" hidden="false" customHeight="true" outlineLevel="0" collapsed="false">
      <c r="B48" s="41" t="s">
        <v>122</v>
      </c>
      <c r="C48" s="41"/>
      <c r="D48" s="41"/>
      <c r="E48" s="41"/>
      <c r="F48" s="41"/>
    </row>
    <row r="49" customFormat="false" ht="30" hidden="false" customHeight="true" outlineLevel="0" collapsed="false">
      <c r="B49" s="42" t="s">
        <v>123</v>
      </c>
      <c r="C49" s="42"/>
      <c r="D49" s="42"/>
      <c r="E49" s="42"/>
      <c r="F49" s="42"/>
    </row>
    <row r="50" customFormat="false" ht="15" hidden="false" customHeight="true" outlineLevel="0" collapsed="false">
      <c r="B50" s="17" t="s">
        <v>68</v>
      </c>
      <c r="C50" s="17" t="s">
        <v>69</v>
      </c>
      <c r="D50" s="17" t="s">
        <v>70</v>
      </c>
      <c r="E50" s="17" t="s">
        <v>31</v>
      </c>
    </row>
    <row r="51" customFormat="false" ht="16.5" hidden="false" customHeight="true" outlineLevel="0" collapsed="false">
      <c r="B51" s="21" t="s">
        <v>124</v>
      </c>
      <c r="C51" s="9" t="s">
        <v>6</v>
      </c>
      <c r="D51" s="10"/>
      <c r="E51" s="10" t="s">
        <v>125</v>
      </c>
    </row>
    <row r="52" customFormat="false" ht="16.5" hidden="false" customHeight="true" outlineLevel="0" collapsed="false">
      <c r="B52" s="21" t="s">
        <v>126</v>
      </c>
      <c r="C52" s="9" t="s">
        <v>6</v>
      </c>
      <c r="D52" s="10"/>
      <c r="E52" s="10" t="s">
        <v>127</v>
      </c>
    </row>
    <row r="53" customFormat="false" ht="27.75" hidden="false" customHeight="true" outlineLevel="0" collapsed="false">
      <c r="B53" s="24" t="s">
        <v>128</v>
      </c>
      <c r="C53" s="43" t="s">
        <v>33</v>
      </c>
      <c r="D53" s="44" t="n">
        <v>40</v>
      </c>
      <c r="E53" s="50" t="s">
        <v>129</v>
      </c>
    </row>
    <row r="54" customFormat="false" ht="16.5" hidden="false" customHeight="true" outlineLevel="0" collapsed="false">
      <c r="B54" s="10" t="s">
        <v>55</v>
      </c>
      <c r="C54" s="46" t="str">
        <f aca="false">IF(C53="[Enter from platform]","",IF(C53&gt;=70,"STRONG",IF(C53&gt;=50,"WATCH","WEAK")))</f>
        <v/>
      </c>
      <c r="D54" s="37" t="str">
        <f aca="false">IF(C53="[Enter from platform]","",C53-40)</f>
        <v/>
      </c>
      <c r="E54" s="30" t="s">
        <v>77</v>
      </c>
    </row>
    <row r="55" customFormat="false" ht="16.5" hidden="false" customHeight="true" outlineLevel="0" collapsed="false">
      <c r="B55" s="21" t="s">
        <v>130</v>
      </c>
      <c r="C55" s="47" t="s">
        <v>131</v>
      </c>
      <c r="E55" s="10" t="s">
        <v>132</v>
      </c>
    </row>
    <row r="56" customFormat="false" ht="16.5" hidden="false" customHeight="true" outlineLevel="0" collapsed="false">
      <c r="B56" s="21" t="s">
        <v>133</v>
      </c>
      <c r="C56" s="47" t="s">
        <v>6</v>
      </c>
      <c r="E56" s="10" t="s">
        <v>134</v>
      </c>
    </row>
    <row r="57" customFormat="false" ht="42" hidden="false" customHeight="true" outlineLevel="0" collapsed="false">
      <c r="B57" s="48" t="s">
        <v>82</v>
      </c>
      <c r="C57" s="49" t="s">
        <v>83</v>
      </c>
      <c r="D57" s="49"/>
      <c r="E57" s="49"/>
      <c r="F57" s="49"/>
    </row>
  </sheetData>
  <mergeCells count="17">
    <mergeCell ref="A1:H1"/>
    <mergeCell ref="A2:H2"/>
    <mergeCell ref="B4:F4"/>
    <mergeCell ref="B5:F5"/>
    <mergeCell ref="C13:F13"/>
    <mergeCell ref="B15:F15"/>
    <mergeCell ref="B16:F16"/>
    <mergeCell ref="C24:F24"/>
    <mergeCell ref="B26:F26"/>
    <mergeCell ref="B27:F27"/>
    <mergeCell ref="C35:F35"/>
    <mergeCell ref="B37:F37"/>
    <mergeCell ref="B38:F38"/>
    <mergeCell ref="C46:F46"/>
    <mergeCell ref="B48:F48"/>
    <mergeCell ref="B49:F49"/>
    <mergeCell ref="C57:F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2"/>
    <col collapsed="false" customWidth="true" hidden="false" outlineLevel="0" max="5" min="3" style="1" width="18"/>
    <col collapsed="false" customWidth="true" hidden="false" outlineLevel="0" max="6" min="6" style="1" width="3"/>
  </cols>
  <sheetData>
    <row r="1" customFormat="false" ht="25.5" hidden="false" customHeight="true" outlineLevel="0" collapsed="false">
      <c r="A1" s="2" t="s">
        <v>135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136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B3" s="4" t="s">
        <v>137</v>
      </c>
      <c r="C3" s="4"/>
      <c r="D3" s="4"/>
      <c r="E3" s="4"/>
    </row>
    <row r="4" customFormat="false" ht="18" hidden="false" customHeight="true" outlineLevel="0" collapsed="false">
      <c r="B4" s="8" t="s">
        <v>138</v>
      </c>
      <c r="C4" s="51" t="str">
        <f aca="false">IFERROR('01 · Summary'!C14,"")</f>
        <v/>
      </c>
      <c r="D4" s="15"/>
      <c r="E4" s="15" t="s">
        <v>139</v>
      </c>
    </row>
    <row r="5" customFormat="false" ht="7.5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</row>
    <row r="6" customFormat="false" ht="15" hidden="false" customHeight="true" outlineLevel="0" collapsed="false">
      <c r="B6" s="4" t="s">
        <v>140</v>
      </c>
      <c r="C6" s="4"/>
      <c r="D6" s="4"/>
      <c r="E6" s="4"/>
    </row>
    <row r="7" customFormat="false" ht="15" hidden="false" customHeight="true" outlineLevel="0" collapsed="false">
      <c r="B7" s="17" t="s">
        <v>141</v>
      </c>
      <c r="C7" s="17" t="s">
        <v>53</v>
      </c>
      <c r="D7" s="17" t="s">
        <v>142</v>
      </c>
      <c r="E7" s="17" t="s">
        <v>143</v>
      </c>
    </row>
    <row r="8" customFormat="false" ht="16.5" hidden="false" customHeight="true" outlineLevel="0" collapsed="false">
      <c r="B8" s="8" t="s">
        <v>144</v>
      </c>
      <c r="C8" s="52" t="s">
        <v>58</v>
      </c>
      <c r="D8" s="53" t="str">
        <f aca="false">IFERROR('01 · Summary'!C14*0.12,"")</f>
        <v/>
      </c>
      <c r="E8" s="54" t="s">
        <v>145</v>
      </c>
    </row>
    <row r="9" customFormat="false" ht="16.5" hidden="false" customHeight="true" outlineLevel="0" collapsed="false">
      <c r="B9" s="21" t="s">
        <v>146</v>
      </c>
      <c r="C9" s="55" t="s">
        <v>59</v>
      </c>
      <c r="D9" s="56" t="str">
        <f aca="false">IFERROR('01 · Summary'!C14*0.08,"")</f>
        <v/>
      </c>
      <c r="E9" s="47" t="s">
        <v>145</v>
      </c>
    </row>
    <row r="10" customFormat="false" ht="16.5" hidden="false" customHeight="true" outlineLevel="0" collapsed="false">
      <c r="B10" s="8" t="s">
        <v>147</v>
      </c>
      <c r="C10" s="52" t="s">
        <v>61</v>
      </c>
      <c r="D10" s="53" t="str">
        <f aca="false">IFERROR('01 · Summary'!C14*0.06,"")</f>
        <v/>
      </c>
      <c r="E10" s="54" t="s">
        <v>145</v>
      </c>
    </row>
    <row r="11" customFormat="false" ht="16.5" hidden="false" customHeight="true" outlineLevel="0" collapsed="false">
      <c r="B11" s="21" t="s">
        <v>148</v>
      </c>
      <c r="C11" s="55" t="s">
        <v>57</v>
      </c>
      <c r="D11" s="56" t="str">
        <f aca="false">IFERROR('01 · Summary'!C14*0.05,"")</f>
        <v/>
      </c>
      <c r="E11" s="47" t="s">
        <v>149</v>
      </c>
    </row>
    <row r="12" customFormat="false" ht="16.5" hidden="false" customHeight="true" outlineLevel="0" collapsed="false">
      <c r="B12" s="8" t="s">
        <v>150</v>
      </c>
      <c r="C12" s="52" t="s">
        <v>60</v>
      </c>
      <c r="D12" s="53" t="str">
        <f aca="false">IFERROR('01 · Summary'!C14*0.07,"")</f>
        <v/>
      </c>
      <c r="E12" s="54" t="s">
        <v>149</v>
      </c>
    </row>
    <row r="13" customFormat="false" ht="6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</row>
    <row r="14" customFormat="false" ht="15" hidden="false" customHeight="true" outlineLevel="0" collapsed="false">
      <c r="B14" s="4" t="s">
        <v>151</v>
      </c>
      <c r="C14" s="4"/>
      <c r="D14" s="4"/>
      <c r="E14" s="4"/>
    </row>
    <row r="15" customFormat="false" ht="18" hidden="false" customHeight="true" outlineLevel="0" collapsed="false">
      <c r="B15" s="57" t="s">
        <v>152</v>
      </c>
      <c r="C15" s="58" t="str">
        <f aca="false">IFERROR(IF(E8="Y",D8,0)+IF(E9="Y",D9,0)+IF(E10="Y",D10,0)+IF(E11="Y",D11,0)+IF(E12="Y",D12,0),"")</f>
        <v/>
      </c>
    </row>
    <row r="16" customFormat="false" ht="7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</row>
    <row r="17" customFormat="false" ht="15" hidden="false" customHeight="true" outlineLevel="0" collapsed="false">
      <c r="B17" s="4" t="s">
        <v>153</v>
      </c>
      <c r="C17" s="4"/>
      <c r="D17" s="4"/>
      <c r="E17" s="4"/>
    </row>
    <row r="18" customFormat="false" ht="15" hidden="false" customHeight="true" outlineLevel="0" collapsed="false">
      <c r="B18" s="59" t="s">
        <v>154</v>
      </c>
      <c r="C18" s="59" t="s">
        <v>155</v>
      </c>
      <c r="D18" s="59" t="s">
        <v>156</v>
      </c>
      <c r="E18" s="59" t="s">
        <v>157</v>
      </c>
    </row>
    <row r="19" customFormat="false" ht="16.5" hidden="false" customHeight="true" outlineLevel="0" collapsed="false">
      <c r="B19" s="8" t="s">
        <v>158</v>
      </c>
      <c r="C19" s="27" t="str">
        <f aca="false">IFERROR('01 · Summary'!C14*0.85,"")</f>
        <v/>
      </c>
      <c r="D19" s="27" t="str">
        <f aca="false">IFERROR('01 · Summary'!C14,"")</f>
        <v/>
      </c>
      <c r="E19" s="27" t="str">
        <f aca="false">IFERROR('01 · Summary'!C14*1.15,"")</f>
        <v/>
      </c>
    </row>
    <row r="20" customFormat="false" ht="16.5" hidden="false" customHeight="true" outlineLevel="0" collapsed="false">
      <c r="B20" s="21" t="s">
        <v>159</v>
      </c>
      <c r="C20" s="60" t="str">
        <f aca="false">IFERROR(C15*0.85,"")</f>
        <v/>
      </c>
      <c r="D20" s="60" t="str">
        <f aca="false">IFERROR(C15,"")</f>
        <v/>
      </c>
      <c r="E20" s="60" t="str">
        <f aca="false">IFERROR(C15*1.15,"")</f>
        <v/>
      </c>
    </row>
    <row r="21" customFormat="false" ht="3.7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19.5" hidden="false" customHeight="true" outlineLevel="0" collapsed="false">
      <c r="B22" s="61" t="s">
        <v>160</v>
      </c>
      <c r="C22" s="62" t="str">
        <f aca="false">IFERROR(C19+C20,"")</f>
        <v/>
      </c>
      <c r="D22" s="62" t="str">
        <f aca="false">IFERROR(D19+D20,"")</f>
        <v/>
      </c>
      <c r="E22" s="62" t="str">
        <f aca="false">IFERROR(E19+E20,"")</f>
        <v/>
      </c>
    </row>
    <row r="23" customFormat="false" ht="16.5" hidden="false" customHeight="true" outlineLevel="0" collapsed="false">
      <c r="B23" s="21" t="s">
        <v>161</v>
      </c>
      <c r="C23" s="63" t="str">
        <f aca="false">IFERROR(C22-'01 · Summary'!C14,"")</f>
        <v/>
      </c>
      <c r="D23" s="63" t="str">
        <f aca="false">IFERROR(D22-'01 · Summary'!C14,"")</f>
        <v/>
      </c>
      <c r="E23" s="63" t="str">
        <f aca="false">IFERROR(E22-'01 · Summary'!C14,"")</f>
        <v/>
      </c>
    </row>
    <row r="24" customFormat="false" ht="16.5" hidden="false" customHeight="true" outlineLevel="0" collapsed="false">
      <c r="B24" s="21" t="s">
        <v>162</v>
      </c>
      <c r="C24" s="23" t="n">
        <f aca="false">IFERROR(IFERROR(C22/ABS('01 · Summary'!C14),0),"")</f>
        <v>0</v>
      </c>
      <c r="D24" s="23" t="n">
        <f aca="false">IFERROR(IFERROR(D22/ABS('01 · Summary'!C14),0),"")</f>
        <v>0</v>
      </c>
      <c r="E24" s="23" t="n">
        <f aca="false">IFERROR(IFERROR(E22/ABS('01 · Summary'!C14),0),"")</f>
        <v>0</v>
      </c>
    </row>
    <row r="25" customFormat="false" ht="6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customFormat="false" ht="15" hidden="false" customHeight="true" outlineLevel="0" collapsed="false">
      <c r="B26" s="40" t="s">
        <v>163</v>
      </c>
      <c r="C26" s="40"/>
      <c r="D26" s="40"/>
      <c r="E26" s="40"/>
    </row>
  </sheetData>
  <mergeCells count="7">
    <mergeCell ref="A1:H1"/>
    <mergeCell ref="A2:H2"/>
    <mergeCell ref="B3:E3"/>
    <mergeCell ref="B6:E6"/>
    <mergeCell ref="B14:E14"/>
    <mergeCell ref="B17:E17"/>
    <mergeCell ref="B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5" min="4" style="1" width="22"/>
    <col collapsed="false" customWidth="true" hidden="false" outlineLevel="0" max="6" min="6" style="1" width="3"/>
  </cols>
  <sheetData>
    <row r="1" customFormat="false" ht="25.5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B3" s="4" t="s">
        <v>166</v>
      </c>
      <c r="C3" s="4"/>
      <c r="D3" s="4"/>
      <c r="E3" s="4"/>
    </row>
    <row r="4" customFormat="false" ht="36" hidden="false" customHeight="true" outlineLevel="0" collapsed="false">
      <c r="B4" s="64" t="s">
        <v>167</v>
      </c>
      <c r="C4" s="64"/>
      <c r="D4" s="64"/>
      <c r="E4" s="64"/>
    </row>
    <row r="5" customFormat="false" ht="15" hidden="false" customHeight="true" outlineLevel="0" collapsed="false">
      <c r="B5" s="17" t="s">
        <v>168</v>
      </c>
      <c r="C5" s="17" t="s">
        <v>169</v>
      </c>
      <c r="D5" s="17" t="s">
        <v>170</v>
      </c>
      <c r="E5" s="17" t="s">
        <v>171</v>
      </c>
    </row>
    <row r="6" customFormat="false" ht="16.5" hidden="false" customHeight="true" outlineLevel="0" collapsed="false">
      <c r="B6" s="8" t="s">
        <v>172</v>
      </c>
      <c r="C6" s="54" t="s">
        <v>173</v>
      </c>
      <c r="D6" s="65" t="s">
        <v>174</v>
      </c>
      <c r="E6" s="20" t="s">
        <v>175</v>
      </c>
    </row>
    <row r="7" customFormat="false" ht="16.5" hidden="false" customHeight="true" outlineLevel="0" collapsed="false">
      <c r="B7" s="21" t="s">
        <v>176</v>
      </c>
      <c r="C7" s="47" t="s">
        <v>173</v>
      </c>
      <c r="D7" s="66" t="s">
        <v>174</v>
      </c>
      <c r="E7" s="10" t="s">
        <v>177</v>
      </c>
    </row>
    <row r="8" customFormat="false" ht="16.5" hidden="false" customHeight="true" outlineLevel="0" collapsed="false">
      <c r="B8" s="8" t="s">
        <v>178</v>
      </c>
      <c r="C8" s="54" t="s">
        <v>173</v>
      </c>
      <c r="D8" s="65" t="s">
        <v>174</v>
      </c>
      <c r="E8" s="20" t="s">
        <v>179</v>
      </c>
    </row>
    <row r="9" customFormat="false" ht="16.5" hidden="false" customHeight="true" outlineLevel="0" collapsed="false">
      <c r="B9" s="21" t="s">
        <v>180</v>
      </c>
      <c r="C9" s="47" t="s">
        <v>173</v>
      </c>
      <c r="D9" s="66" t="s">
        <v>174</v>
      </c>
      <c r="E9" s="10" t="s">
        <v>181</v>
      </c>
    </row>
    <row r="10" customFormat="false" ht="19.5" hidden="false" customHeight="true" outlineLevel="0" collapsed="false">
      <c r="B10" s="24" t="s">
        <v>22</v>
      </c>
      <c r="C10" s="67" t="n">
        <f aca="false">0.7+(IF(C6="YES",1,0)+IF(C7="YES",1,0)+IF(C8="YES",1,0)+IF(C9="YES",1,0))*0.15</f>
        <v>1.3</v>
      </c>
      <c r="D10" s="68" t="s">
        <v>182</v>
      </c>
    </row>
    <row r="11" customFormat="false" ht="6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</row>
    <row r="12" customFormat="false" ht="15" hidden="false" customHeight="true" outlineLevel="0" collapsed="false">
      <c r="B12" s="4" t="s">
        <v>183</v>
      </c>
      <c r="C12" s="4"/>
      <c r="D12" s="4"/>
      <c r="E12" s="4"/>
    </row>
    <row r="13" customFormat="false" ht="15" hidden="false" customHeight="true" outlineLevel="0" collapsed="false">
      <c r="B13" s="17" t="s">
        <v>184</v>
      </c>
      <c r="C13" s="17" t="s">
        <v>185</v>
      </c>
      <c r="D13" s="17" t="s">
        <v>186</v>
      </c>
      <c r="E13" s="17" t="s">
        <v>187</v>
      </c>
    </row>
    <row r="14" customFormat="false" ht="16.5" hidden="false" customHeight="true" outlineLevel="0" collapsed="false">
      <c r="B14" s="8" t="s">
        <v>155</v>
      </c>
      <c r="C14" s="69" t="n">
        <f aca="false">MAX(0.7,C10-0.15)</f>
        <v>1.15</v>
      </c>
      <c r="D14" s="70" t="str">
        <f aca="false">IFERROR(C14*'01 · Summary'!C12,"")</f>
        <v/>
      </c>
      <c r="E14" s="20" t="s">
        <v>188</v>
      </c>
    </row>
    <row r="15" customFormat="false" ht="16.5" hidden="false" customHeight="true" outlineLevel="0" collapsed="false">
      <c r="B15" s="71" t="s">
        <v>156</v>
      </c>
      <c r="C15" s="72" t="n">
        <f aca="false">C10</f>
        <v>1.3</v>
      </c>
      <c r="D15" s="73" t="str">
        <f aca="false">IFERROR(C15*'01 · Summary'!C12,"")</f>
        <v/>
      </c>
      <c r="E15" s="74" t="s">
        <v>189</v>
      </c>
    </row>
    <row r="16" customFormat="false" ht="16.5" hidden="false" customHeight="true" outlineLevel="0" collapsed="false">
      <c r="B16" s="8" t="s">
        <v>157</v>
      </c>
      <c r="C16" s="69" t="n">
        <f aca="false">MIN(1.3,C10+0.15)</f>
        <v>1.3</v>
      </c>
      <c r="D16" s="70" t="str">
        <f aca="false">IFERROR(C16*'01 · Summary'!C12,"")</f>
        <v/>
      </c>
      <c r="E16" s="20" t="s">
        <v>190</v>
      </c>
    </row>
    <row r="17" customFormat="false" ht="6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</row>
    <row r="18" customFormat="false" ht="15" hidden="false" customHeight="true" outlineLevel="0" collapsed="false">
      <c r="B18" s="4" t="s">
        <v>191</v>
      </c>
      <c r="C18" s="4"/>
      <c r="D18" s="4"/>
      <c r="E18" s="4"/>
    </row>
    <row r="19" customFormat="false" ht="16.5" hidden="false" customHeight="true" outlineLevel="0" collapsed="false">
      <c r="B19" s="75" t="s">
        <v>192</v>
      </c>
    </row>
    <row r="20" customFormat="false" ht="16.5" hidden="false" customHeight="true" outlineLevel="0" collapsed="false">
      <c r="B20" s="55" t="s">
        <v>193</v>
      </c>
      <c r="C20" s="76" t="s">
        <v>194</v>
      </c>
      <c r="D20" s="76"/>
    </row>
    <row r="21" customFormat="false" ht="16.5" hidden="false" customHeight="true" outlineLevel="0" collapsed="false">
      <c r="B21" s="55" t="s">
        <v>195</v>
      </c>
      <c r="C21" s="76" t="s">
        <v>196</v>
      </c>
      <c r="D21" s="76"/>
      <c r="E21" s="77" t="s">
        <v>197</v>
      </c>
    </row>
    <row r="22" customFormat="false" ht="16.5" hidden="false" customHeight="true" outlineLevel="0" collapsed="false">
      <c r="B22" s="55" t="s">
        <v>198</v>
      </c>
      <c r="C22" s="76" t="s">
        <v>199</v>
      </c>
      <c r="D22" s="76"/>
      <c r="E22" s="77" t="s">
        <v>200</v>
      </c>
    </row>
    <row r="23" customFormat="false" ht="16.5" hidden="false" customHeight="true" outlineLevel="0" collapsed="false">
      <c r="B23" s="55" t="s">
        <v>201</v>
      </c>
      <c r="C23" s="76" t="s">
        <v>202</v>
      </c>
      <c r="D23" s="76"/>
      <c r="E23" s="77" t="s">
        <v>13</v>
      </c>
    </row>
    <row r="24" customFormat="false" ht="16.5" hidden="false" customHeight="true" outlineLevel="0" collapsed="false">
      <c r="B24" s="55"/>
    </row>
    <row r="25" customFormat="false" ht="16.5" hidden="false" customHeight="true" outlineLevel="0" collapsed="false">
      <c r="B25" s="75" t="s">
        <v>203</v>
      </c>
    </row>
    <row r="26" customFormat="false" ht="16.5" hidden="false" customHeight="true" outlineLevel="0" collapsed="false">
      <c r="B26" s="55" t="s">
        <v>193</v>
      </c>
      <c r="C26" s="76" t="s">
        <v>204</v>
      </c>
      <c r="D26" s="76"/>
    </row>
    <row r="27" customFormat="false" ht="16.5" hidden="false" customHeight="true" outlineLevel="0" collapsed="false">
      <c r="B27" s="55" t="s">
        <v>205</v>
      </c>
      <c r="C27" s="76" t="s">
        <v>206</v>
      </c>
      <c r="D27" s="76"/>
      <c r="E27" s="77" t="s">
        <v>207</v>
      </c>
    </row>
    <row r="28" customFormat="false" ht="16.5" hidden="false" customHeight="true" outlineLevel="0" collapsed="false">
      <c r="B28" s="55" t="s">
        <v>208</v>
      </c>
      <c r="C28" s="76" t="s">
        <v>209</v>
      </c>
      <c r="D28" s="76"/>
    </row>
    <row r="29" customFormat="false" ht="16.5" hidden="false" customHeight="true" outlineLevel="0" collapsed="false">
      <c r="B29" s="55" t="s">
        <v>201</v>
      </c>
      <c r="C29" s="76" t="s">
        <v>210</v>
      </c>
      <c r="D29" s="76"/>
      <c r="E29" s="77" t="s">
        <v>13</v>
      </c>
    </row>
    <row r="30" customFormat="false" ht="16.5" hidden="false" customHeight="true" outlineLevel="0" collapsed="false">
      <c r="B30" s="55"/>
    </row>
    <row r="31" customFormat="false" ht="16.5" hidden="false" customHeight="true" outlineLevel="0" collapsed="false">
      <c r="B31" s="75" t="s">
        <v>211</v>
      </c>
    </row>
    <row r="32" customFormat="false" ht="16.5" hidden="false" customHeight="true" outlineLevel="0" collapsed="false">
      <c r="B32" s="55" t="s">
        <v>193</v>
      </c>
      <c r="C32" s="76" t="s">
        <v>212</v>
      </c>
      <c r="D32" s="76"/>
    </row>
    <row r="33" customFormat="false" ht="16.5" hidden="false" customHeight="true" outlineLevel="0" collapsed="false">
      <c r="B33" s="55" t="s">
        <v>213</v>
      </c>
      <c r="C33" s="76" t="s">
        <v>214</v>
      </c>
      <c r="D33" s="76"/>
    </row>
    <row r="34" customFormat="false" ht="16.5" hidden="false" customHeight="true" outlineLevel="0" collapsed="false">
      <c r="B34" s="55" t="s">
        <v>201</v>
      </c>
      <c r="C34" s="76" t="s">
        <v>215</v>
      </c>
      <c r="D34" s="76"/>
      <c r="E34" s="77" t="s">
        <v>13</v>
      </c>
    </row>
    <row r="35" customFormat="false" ht="16.5" hidden="false" customHeight="true" outlineLevel="0" collapsed="false">
      <c r="B35" s="55"/>
    </row>
    <row r="36" customFormat="false" ht="16.5" hidden="false" customHeight="true" outlineLevel="0" collapsed="false">
      <c r="B36" s="78" t="s">
        <v>216</v>
      </c>
    </row>
    <row r="37" customFormat="false" ht="16.5" hidden="false" customHeight="true" outlineLevel="0" collapsed="false">
      <c r="B37" s="78" t="s">
        <v>217</v>
      </c>
    </row>
  </sheetData>
  <mergeCells count="17">
    <mergeCell ref="A1:H1"/>
    <mergeCell ref="A2:H2"/>
    <mergeCell ref="B3:E3"/>
    <mergeCell ref="B4:E4"/>
    <mergeCell ref="B12:E12"/>
    <mergeCell ref="B18:E18"/>
    <mergeCell ref="C20:D20"/>
    <mergeCell ref="C21:D21"/>
    <mergeCell ref="C22:D22"/>
    <mergeCell ref="C23:D23"/>
    <mergeCell ref="C26:D26"/>
    <mergeCell ref="C27:D27"/>
    <mergeCell ref="C28:D28"/>
    <mergeCell ref="C29:D29"/>
    <mergeCell ref="C32:D32"/>
    <mergeCell ref="C33:D33"/>
    <mergeCell ref="C34:D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0"/>
    <col collapsed="false" customWidth="true" hidden="false" outlineLevel="0" max="3" min="3" style="1" width="3"/>
  </cols>
  <sheetData>
    <row r="1" customFormat="false" ht="25.5" hidden="false" customHeight="true" outlineLevel="0" collapsed="false">
      <c r="A1" s="2" t="s">
        <v>218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219</v>
      </c>
      <c r="B2" s="3"/>
      <c r="C2" s="3"/>
      <c r="D2" s="3"/>
      <c r="E2" s="3"/>
      <c r="F2" s="3"/>
      <c r="G2" s="3"/>
      <c r="H2" s="3"/>
    </row>
    <row r="3" customFormat="false" ht="7.5" hidden="false" customHeight="true" outlineLevel="0" collapsed="false">
      <c r="A3" s="11"/>
      <c r="B3" s="79" t="s">
        <v>220</v>
      </c>
      <c r="C3" s="11"/>
    </row>
    <row r="4" customFormat="false" ht="60" hidden="false" customHeight="true" outlineLevel="0" collapsed="false">
      <c r="B4" s="80" t="s">
        <v>221</v>
      </c>
    </row>
    <row r="5" customFormat="false" ht="7.5" hidden="false" customHeight="true" outlineLevel="0" collapsed="false">
      <c r="B5" s="81"/>
    </row>
    <row r="6" customFormat="false" ht="7.5" hidden="false" customHeight="true" outlineLevel="0" collapsed="false">
      <c r="B6" s="79" t="s">
        <v>64</v>
      </c>
    </row>
    <row r="7" customFormat="false" ht="36" hidden="false" customHeight="true" outlineLevel="0" collapsed="false">
      <c r="B7" s="80" t="s">
        <v>222</v>
      </c>
    </row>
    <row r="8" customFormat="false" ht="36" hidden="false" customHeight="true" outlineLevel="0" collapsed="false">
      <c r="B8" s="80" t="s">
        <v>223</v>
      </c>
    </row>
    <row r="9" customFormat="false" ht="36" hidden="false" customHeight="true" outlineLevel="0" collapsed="false">
      <c r="B9" s="80" t="s">
        <v>224</v>
      </c>
    </row>
    <row r="10" customFormat="false" ht="36" hidden="false" customHeight="true" outlineLevel="0" collapsed="false">
      <c r="B10" s="80" t="s">
        <v>225</v>
      </c>
    </row>
    <row r="11" customFormat="false" ht="36" hidden="false" customHeight="true" outlineLevel="0" collapsed="false">
      <c r="B11" s="80" t="s">
        <v>226</v>
      </c>
    </row>
    <row r="12" customFormat="false" ht="7.5" hidden="false" customHeight="true" outlineLevel="0" collapsed="false">
      <c r="B12" s="81"/>
    </row>
    <row r="13" customFormat="false" ht="7.5" hidden="false" customHeight="true" outlineLevel="0" collapsed="false">
      <c r="B13" s="79" t="s">
        <v>135</v>
      </c>
    </row>
    <row r="14" customFormat="false" ht="48" hidden="false" customHeight="true" outlineLevel="0" collapsed="false">
      <c r="B14" s="80" t="s">
        <v>227</v>
      </c>
    </row>
    <row r="15" customFormat="false" ht="7.5" hidden="false" customHeight="true" outlineLevel="0" collapsed="false">
      <c r="B15" s="81"/>
    </row>
    <row r="16" customFormat="false" ht="7.5" hidden="false" customHeight="true" outlineLevel="0" collapsed="false">
      <c r="B16" s="79" t="s">
        <v>228</v>
      </c>
    </row>
    <row r="17" customFormat="false" ht="60" hidden="false" customHeight="true" outlineLevel="0" collapsed="false">
      <c r="B17" s="80" t="s">
        <v>229</v>
      </c>
    </row>
    <row r="18" customFormat="false" ht="7.5" hidden="false" customHeight="true" outlineLevel="0" collapsed="false">
      <c r="B18" s="81"/>
    </row>
    <row r="19" customFormat="false" ht="7.5" hidden="false" customHeight="true" outlineLevel="0" collapsed="false">
      <c r="B19" s="81" t="s">
        <v>230</v>
      </c>
    </row>
    <row r="20" customFormat="false" ht="36" hidden="false" customHeight="true" outlineLevel="0" collapsed="false">
      <c r="B20" s="81" t="s">
        <v>231</v>
      </c>
    </row>
    <row r="21" customFormat="false" ht="6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customFormat="false" ht="36" hidden="false" customHeight="true" outlineLevel="0" collapsed="false">
      <c r="B22" s="45" t="s">
        <v>232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2026-06-15T09:28:10Z</dcterms:created>
  <dc:creator>openpyxl</dc:creator>
  <dc:description/>
  <dc:language>en-US</dc:language>
  <cp:lastModifiedBy/>
  <dcterms:modified xsi:type="dcterms:W3CDTF">2026-06-15T09:29:21Z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