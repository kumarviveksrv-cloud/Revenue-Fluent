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Value Ledg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6366F1"/>
      <sz val="14"/>
    </font>
    <font>
      <name val="Arial"/>
      <b val="1"/>
      <color rgb="00C4B5FD"/>
      <sz val="18"/>
    </font>
    <font>
      <name val="Arial"/>
      <color rgb="00475569"/>
      <sz val="11"/>
    </font>
    <font>
      <name val="Arial"/>
      <b val="1"/>
      <color rgb="006366F1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0D0B1E"/>
      <sz val="10"/>
    </font>
    <font>
      <name val="Arial"/>
      <color rgb="00475569"/>
      <sz val="10"/>
    </font>
    <font>
      <name val="Arial"/>
      <color rgb="006366F1"/>
      <sz val="9"/>
    </font>
    <font>
      <name val="Arial"/>
      <b val="1"/>
      <color rgb="00C4B5FD"/>
      <sz val="11"/>
    </font>
    <font>
      <name val="Arial"/>
      <b val="1"/>
      <color rgb="00FFFFFF"/>
      <sz val="10"/>
    </font>
    <font>
      <name val="Arial"/>
      <b val="1"/>
      <color rgb="00C4B5FD"/>
      <sz val="13"/>
    </font>
    <font>
      <name val="Arial"/>
      <color rgb="00FFFFFF"/>
      <sz val="10"/>
    </font>
    <font>
      <name val="Arial"/>
      <b val="1"/>
      <color rgb="00C4B5FD"/>
      <sz val="14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EF2FF"/>
      </patternFill>
    </fill>
    <fill>
      <patternFill patternType="solid">
        <fgColor rgb="00F4F3FF"/>
      </patternFill>
    </fill>
    <fill>
      <patternFill patternType="solid">
        <fgColor rgb="000D0B1E"/>
      </patternFill>
    </fill>
    <fill>
      <patternFill patternType="solid">
        <fgColor rgb="001A18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left" vertical="center"/>
    </xf>
    <xf numFmtId="0" fontId="13" fillId="5" borderId="0" applyAlignment="1" pivotButton="0" quotePrefix="0" xfId="0">
      <alignment horizontal="left" vertical="center"/>
    </xf>
    <xf numFmtId="0" fontId="14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9"/>
  <sheetViews>
    <sheetView workbookViewId="0">
      <selection activeCell="A1" sqref="A1"/>
    </sheetView>
  </sheetViews>
  <sheetFormatPr baseColWidth="8" defaultRowHeight="15"/>
  <cols>
    <col width="2" customWidth="1" min="1" max="1"/>
    <col width="80" customWidth="1" min="2" max="2"/>
  </cols>
  <sheetData>
    <row r="2">
      <c r="B2" s="1" t="inlineStr">
        <is>
          <t>REVENUE FLUENT</t>
        </is>
      </c>
    </row>
    <row r="3">
      <c r="B3" s="2" t="inlineStr">
        <is>
          <t>L1: The Value Ledger</t>
        </is>
      </c>
    </row>
    <row r="4">
      <c r="B4" s="3" t="inlineStr">
        <is>
          <t>Every HR decision has a financial entry. Most organisations just never wrote it down.</t>
        </is>
      </c>
    </row>
    <row r="6">
      <c r="B6" s="4" t="inlineStr">
        <is>
          <t>COLOUR GUIDE</t>
        </is>
      </c>
    </row>
    <row r="7">
      <c r="B7" s="5" t="inlineStr">
        <is>
          <t>Blue text = Input cells</t>
        </is>
      </c>
    </row>
    <row r="8">
      <c r="B8" s="6" t="inlineStr">
        <is>
          <t>Black text = Formula cells (do not edit)</t>
        </is>
      </c>
    </row>
    <row r="9">
      <c r="B9" s="7" t="inlineStr">
        <is>
          <t>Indigo background = Total / summary rows</t>
        </is>
      </c>
    </row>
    <row r="11">
      <c r="B11" s="4" t="inlineStr">
        <is>
          <t>HOW TO USE</t>
        </is>
      </c>
    </row>
    <row r="12">
      <c r="B12" s="8" t="inlineStr">
        <is>
          <t>1. Go to the 'Value Ledger' sheet</t>
        </is>
      </c>
    </row>
    <row r="13">
      <c r="B13" s="8" t="inlineStr">
        <is>
          <t>2. Enter organisation details in ASSUMPTIONS (blue cells)</t>
        </is>
      </c>
    </row>
    <row r="14">
      <c r="B14" s="8" t="inlineStr">
        <is>
          <t>3. Enter each HR action — category, description, cost, and return estimate</t>
        </is>
      </c>
    </row>
    <row r="15">
      <c r="B15" s="8" t="inlineStr">
        <is>
          <t>4. The Ratio auto-calculates from your entries</t>
        </is>
      </c>
    </row>
    <row r="16">
      <c r="B16" s="8" t="inlineStr">
        <is>
          <t>5. The PDF report shows the same calculation with your scenario data</t>
        </is>
      </c>
    </row>
    <row r="19">
      <c r="B19" s="9" t="inlineStr">
        <is>
          <t>Built on Humacity  ·  humacity.com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35"/>
  <sheetViews>
    <sheetView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32" customWidth="1" min="3" max="3"/>
    <col width="16" customWidth="1" min="4" max="4"/>
    <col width="18" customWidth="1" min="5" max="5"/>
    <col width="16" customWidth="1" min="6" max="6"/>
    <col width="20" customWidth="1" min="7" max="7"/>
  </cols>
  <sheetData>
    <row r="2">
      <c r="B2" s="10" t="inlineStr">
        <is>
          <t>THE VALUE LEDGER  —  HR Investment Return Model</t>
        </is>
      </c>
    </row>
    <row r="3">
      <c r="B3" s="9" t="inlineStr">
        <is>
          <t>Revenue Fluent  ·  humacity.com</t>
        </is>
      </c>
    </row>
    <row r="5">
      <c r="B5" s="10" t="inlineStr">
        <is>
          <t>ASSUMPTIONS</t>
        </is>
      </c>
    </row>
    <row r="6">
      <c r="B6" s="11" t="inlineStr">
        <is>
          <t>INPUT</t>
        </is>
      </c>
      <c r="C6" s="11" t="inlineStr">
        <is>
          <t>YOUR VALUE</t>
        </is>
      </c>
      <c r="D6" s="11" t="inlineStr">
        <is>
          <t>NOTES</t>
        </is>
      </c>
    </row>
    <row r="7">
      <c r="B7" s="8" t="inlineStr">
        <is>
          <t>Organisation name</t>
        </is>
      </c>
      <c r="C7" s="5" t="inlineStr">
        <is>
          <t>My Organisation</t>
        </is>
      </c>
    </row>
    <row r="8">
      <c r="B8" s="8" t="inlineStr">
        <is>
          <t>Currency symbol</t>
        </is>
      </c>
      <c r="C8" s="5" t="inlineStr">
        <is>
          <t>₹</t>
        </is>
      </c>
    </row>
    <row r="9">
      <c r="B9" s="8" t="inlineStr">
        <is>
          <t>Total annual compensation base</t>
        </is>
      </c>
      <c r="C9" s="5" t="n">
        <v>50000000</v>
      </c>
    </row>
    <row r="10">
      <c r="B10" s="8" t="inlineStr">
        <is>
          <t>Number of employees</t>
        </is>
      </c>
      <c r="C10" s="5" t="n">
        <v>100</v>
      </c>
    </row>
    <row r="11">
      <c r="B11" s="8" t="inlineStr">
        <is>
          <t>Average salary (auto-calc)</t>
        </is>
      </c>
      <c r="C11" s="6">
        <f>IF(C10&gt;0,C9/C10,0)</f>
        <v/>
      </c>
    </row>
    <row r="12">
      <c r="B12" s="8" t="inlineStr">
        <is>
          <t>Financial year</t>
        </is>
      </c>
      <c r="C12" s="5" t="inlineStr">
        <is>
          <t>FY2026</t>
        </is>
      </c>
    </row>
    <row r="15">
      <c r="B15" s="10" t="inlineStr">
        <is>
          <t>ENTRY LOG  —  HR Actions &amp; Returns</t>
        </is>
      </c>
    </row>
    <row r="16">
      <c r="B16" s="11" t="inlineStr">
        <is>
          <t>CATEGORY</t>
        </is>
      </c>
      <c r="C16" s="11" t="inlineStr">
        <is>
          <t>HR ACTION / DESCRIPTION</t>
        </is>
      </c>
      <c r="D16" s="11" t="inlineStr">
        <is>
          <t>COST INVESTED</t>
        </is>
      </c>
      <c r="E16" s="11" t="inlineStr">
        <is>
          <t>RETURN GENERATED</t>
        </is>
      </c>
      <c r="F16" s="11" t="inlineStr">
        <is>
          <t>NET RETURN</t>
        </is>
      </c>
      <c r="G16" s="11" t="inlineStr">
        <is>
          <t>NOTES</t>
        </is>
      </c>
    </row>
    <row r="17">
      <c r="B17" s="5" t="inlineStr">
        <is>
          <t>Revenue-Generating</t>
        </is>
      </c>
      <c r="C17" s="5" t="inlineStr">
        <is>
          <t>Key hire — Sales Director</t>
        </is>
      </c>
      <c r="D17" s="5" t="n">
        <v>800000</v>
      </c>
      <c r="E17" s="5" t="n">
        <v>4200000</v>
      </c>
      <c r="F17" s="6">
        <f>IF(E17&gt;0,E17-D17,0)</f>
        <v/>
      </c>
    </row>
    <row r="18">
      <c r="B18" s="5" t="inlineStr">
        <is>
          <t>Revenue-Generating</t>
        </is>
      </c>
      <c r="C18" s="5" t="inlineStr">
        <is>
          <t>Team build — New revenue line</t>
        </is>
      </c>
      <c r="D18" s="5" t="n">
        <v>1200000</v>
      </c>
      <c r="E18" s="5" t="n">
        <v>5500000</v>
      </c>
      <c r="F18" s="6">
        <f>IF(E18&gt;0,E18-D18,0)</f>
        <v/>
      </c>
    </row>
    <row r="19">
      <c r="B19" s="5" t="inlineStr">
        <is>
          <t>Cost-Saving</t>
        </is>
      </c>
      <c r="C19" s="5" t="inlineStr">
        <is>
          <t>Retention save — Senior Engineer</t>
        </is>
      </c>
      <c r="D19" s="5" t="n">
        <v>350000</v>
      </c>
      <c r="E19" s="5" t="n">
        <v>1400000</v>
      </c>
      <c r="F19" s="6">
        <f>IF(E19&gt;0,E19-D19,0)</f>
        <v/>
      </c>
    </row>
    <row r="20">
      <c r="B20" s="5" t="inlineStr">
        <is>
          <t>Cost-Saving</t>
        </is>
      </c>
      <c r="C20" s="5" t="inlineStr">
        <is>
          <t>Internal mobility — avoided external hire</t>
        </is>
      </c>
      <c r="D20" s="5" t="n">
        <v>50000</v>
      </c>
      <c r="E20" s="5" t="n">
        <v>650000</v>
      </c>
      <c r="F20" s="6">
        <f>IF(E20&gt;0,E20-D20,0)</f>
        <v/>
      </c>
    </row>
    <row r="21">
      <c r="B21" s="5" t="inlineStr">
        <is>
          <t>Development</t>
        </is>
      </c>
      <c r="C21" s="5" t="inlineStr">
        <is>
          <t>Leadership coaching programme</t>
        </is>
      </c>
      <c r="D21" s="5" t="n">
        <v>280000</v>
      </c>
      <c r="E21" s="5" t="n">
        <v>840000</v>
      </c>
      <c r="F21" s="6">
        <f>IF(E21&gt;0,E21-D21,0)</f>
        <v/>
      </c>
    </row>
    <row r="22">
      <c r="B22" s="5" t="inlineStr">
        <is>
          <t>Development</t>
        </is>
      </c>
      <c r="C22" s="5" t="inlineStr">
        <is>
          <t>Technical upskilling — 12 employees</t>
        </is>
      </c>
      <c r="D22" s="5" t="n">
        <v>180000</v>
      </c>
      <c r="E22" s="5" t="n">
        <v>520000</v>
      </c>
      <c r="F22" s="6">
        <f>IF(E22&gt;0,E22-D22,0)</f>
        <v/>
      </c>
    </row>
    <row r="23">
      <c r="B23" s="5" t="inlineStr">
        <is>
          <t>Culture &amp; Engagement</t>
        </is>
      </c>
      <c r="C23" s="5" t="inlineStr">
        <is>
          <t>Annual team offsite</t>
        </is>
      </c>
      <c r="D23" s="5" t="n">
        <v>120000</v>
      </c>
      <c r="E23" s="5" t="n">
        <v>380000</v>
      </c>
      <c r="F23" s="6">
        <f>IF(E23&gt;0,E23-D23,0)</f>
        <v/>
      </c>
    </row>
    <row r="24">
      <c r="B24" s="5" t="inlineStr">
        <is>
          <t>Culture &amp; Engagement</t>
        </is>
      </c>
      <c r="C24" s="5" t="inlineStr">
        <is>
          <t>Engagement initiative — recognition programme</t>
        </is>
      </c>
      <c r="D24" s="5" t="n">
        <v>60000</v>
      </c>
      <c r="E24" s="5" t="n">
        <v>210000</v>
      </c>
      <c r="F24" s="6">
        <f>IF(E24&gt;0,E24-D24,0)</f>
        <v/>
      </c>
    </row>
    <row r="25">
      <c r="F25" s="6">
        <f>IF(E25&gt;0,E25-D25,0)</f>
        <v/>
      </c>
    </row>
    <row r="26">
      <c r="F26" s="6">
        <f>IF(E26&gt;0,E26-D26,0)</f>
        <v/>
      </c>
    </row>
    <row r="27">
      <c r="F27" s="6">
        <f>IF(E27&gt;0,E27-D27,0)</f>
        <v/>
      </c>
    </row>
    <row r="28">
      <c r="F28" s="6">
        <f>IF(E28&gt;0,E28-D28,0)</f>
        <v/>
      </c>
    </row>
    <row r="30">
      <c r="B30" s="10" t="inlineStr">
        <is>
          <t>SUMMARY</t>
        </is>
      </c>
    </row>
    <row r="31">
      <c r="B31" s="7" t="inlineStr">
        <is>
          <t>Total HR Investment</t>
        </is>
      </c>
      <c r="D31" s="7">
        <f>SUM(D17:D28)</f>
        <v/>
      </c>
    </row>
    <row r="32">
      <c r="B32" s="7" t="inlineStr">
        <is>
          <t>Total Return Generated</t>
        </is>
      </c>
      <c r="D32" s="7">
        <f>SUM(E17:E28)</f>
        <v/>
      </c>
    </row>
    <row r="33">
      <c r="B33" s="7" t="inlineStr">
        <is>
          <t>Total Net Return</t>
        </is>
      </c>
      <c r="D33" s="7">
        <f>SUM(F17:F28)</f>
        <v/>
      </c>
    </row>
    <row r="35">
      <c r="B35" s="12" t="inlineStr">
        <is>
          <t>THE RATIO</t>
        </is>
      </c>
      <c r="C35" s="13" t="inlineStr">
        <is>
          <t>For every 1 unit invested in HR, this org returns:</t>
        </is>
      </c>
      <c r="D35" s="14">
        <f>IF(D31&gt;0,D32/D31,0)&amp;"x"</f>
        <v/>
      </c>
    </row>
  </sheetData>
  <mergeCells count="4">
    <mergeCell ref="B2:G2"/>
    <mergeCell ref="B30:G30"/>
    <mergeCell ref="B5:D5"/>
    <mergeCell ref="B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2026-08-17T13:39:35Z</dcterms:created>
  <dcterms:modified xmlns:dcterms="http://purl.org/dc/terms/" xmlns:xsi="http://www.w3.org/2001/XMLSchema-instance" xsi:type="dcterms:W3CDTF">2026-08-17T13:39:35Z</dcterms:modified>
</cp:coreProperties>
</file>