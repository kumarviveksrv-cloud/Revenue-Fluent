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Balance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6366F1"/>
      <sz val="14"/>
    </font>
    <font>
      <name val="Arial"/>
      <b val="1"/>
      <color rgb="00C4B5FD"/>
      <sz val="18"/>
    </font>
    <font>
      <name val="Arial"/>
      <color rgb="00475569"/>
      <sz val="11"/>
    </font>
    <font>
      <name val="Arial"/>
      <b val="1"/>
      <color rgb="006366F1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b val="1"/>
      <color rgb="000D0B1E"/>
      <sz val="10"/>
    </font>
    <font>
      <name val="Arial"/>
      <color rgb="00475569"/>
      <sz val="10"/>
    </font>
    <font>
      <name val="Arial"/>
      <color rgb="006366F1"/>
      <sz val="9"/>
    </font>
    <font>
      <name val="Arial"/>
      <b val="1"/>
      <color rgb="00C4B5FD"/>
      <sz val="11"/>
    </font>
    <font>
      <name val="Arial"/>
      <b val="1"/>
      <color rgb="00FFFFFF"/>
      <sz val="10"/>
    </font>
    <font>
      <name val="Arial"/>
      <color rgb="000D0B1E"/>
      <sz val="10"/>
    </font>
    <font>
      <name val="Arial"/>
      <b val="1"/>
      <color rgb="00C4B5FD"/>
      <sz val="12"/>
    </font>
    <font>
      <name val="Arial"/>
      <b val="1"/>
      <color rgb="00C4B5FD"/>
      <sz val="14"/>
    </font>
  </fonts>
  <fills count="9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EF2FF"/>
      </patternFill>
    </fill>
    <fill>
      <patternFill patternType="solid">
        <fgColor rgb="00F4F3FF"/>
      </patternFill>
    </fill>
    <fill>
      <patternFill patternType="solid">
        <fgColor rgb="000D0B1E"/>
      </patternFill>
    </fill>
    <fill>
      <patternFill patternType="solid">
        <fgColor rgb="001A1838"/>
      </patternFill>
    </fill>
    <fill>
      <patternFill patternType="solid">
        <fgColor rgb="00F0F4FF"/>
      </patternFill>
    </fill>
    <fill>
      <patternFill patternType="solid">
        <fgColor rgb="00FF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10" fillId="5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13" fillId="5" borderId="0" applyAlignment="1" pivotButton="0" quotePrefix="0" xfId="0">
      <alignment horizontal="left" vertical="center"/>
    </xf>
    <xf numFmtId="0" fontId="14" fillId="5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0"/>
  <sheetViews>
    <sheetView workbookViewId="0">
      <selection activeCell="A1" sqref="A1"/>
    </sheetView>
  </sheetViews>
  <sheetFormatPr baseColWidth="8" defaultRowHeight="15"/>
  <cols>
    <col width="2" customWidth="1" min="1" max="1"/>
    <col width="80" customWidth="1" min="2" max="2"/>
  </cols>
  <sheetData>
    <row r="2">
      <c r="B2" s="1" t="inlineStr">
        <is>
          <t>REVENUE FLUENT</t>
        </is>
      </c>
    </row>
    <row r="3">
      <c r="B3" s="2" t="inlineStr">
        <is>
          <t>L5: The Human Balance Sheet</t>
        </is>
      </c>
    </row>
    <row r="4">
      <c r="B4" s="3" t="inlineStr">
        <is>
          <t>Your organisation has always had a Human Balance Sheet. Nobody ever filed it. Here it is.</t>
        </is>
      </c>
    </row>
    <row r="6">
      <c r="B6" s="4" t="inlineStr">
        <is>
          <t>COLOUR GUIDE</t>
        </is>
      </c>
    </row>
    <row r="7">
      <c r="B7" s="5" t="inlineStr">
        <is>
          <t>Blue text = Input cells</t>
        </is>
      </c>
    </row>
    <row r="8">
      <c r="B8" s="6" t="inlineStr">
        <is>
          <t>Black text = Formula cells (do not edit)</t>
        </is>
      </c>
    </row>
    <row r="9">
      <c r="B9" s="7" t="inlineStr">
        <is>
          <t>Indigo background = Total / summary rows</t>
        </is>
      </c>
    </row>
    <row r="11">
      <c r="B11" s="4" t="inlineStr">
        <is>
          <t>HOW TO USE</t>
        </is>
      </c>
    </row>
    <row r="12">
      <c r="B12" s="8" t="inlineStr">
        <is>
          <t>1. Go to the 'Balance Sheet' tab</t>
        </is>
      </c>
    </row>
    <row r="13">
      <c r="B13" s="8" t="inlineStr">
        <is>
          <t>2. Enter assumptions (blue cells)</t>
        </is>
      </c>
    </row>
    <row r="14">
      <c r="B14" s="8" t="inlineStr">
        <is>
          <t>3. Fill in each HUMAN ASSET line on the left</t>
        </is>
      </c>
    </row>
    <row r="15">
      <c r="B15" s="8" t="inlineStr">
        <is>
          <t>4. Fill in each HUMAN LIABILITY line on the right</t>
        </is>
      </c>
    </row>
    <row r="16">
      <c r="B16" s="8" t="inlineStr">
        <is>
          <t>5. Net Human Worth auto-calculates</t>
        </is>
      </c>
    </row>
    <row r="17">
      <c r="B17" s="8" t="inlineStr">
        <is>
          <t>6. Present this document to your board</t>
        </is>
      </c>
    </row>
    <row r="20">
      <c r="B20" s="9" t="inlineStr">
        <is>
          <t>Built on Humacity  ·  humacity.com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21"/>
  <sheetViews>
    <sheetView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6" customWidth="1" min="3" max="3"/>
    <col width="4" customWidth="1" min="4" max="4"/>
    <col width="28" customWidth="1" min="5" max="5"/>
    <col width="16" customWidth="1" min="6" max="6"/>
  </cols>
  <sheetData>
    <row r="2">
      <c r="B2" s="10" t="inlineStr">
        <is>
          <t>THE HUMAN BALANCE SHEET</t>
        </is>
      </c>
    </row>
    <row r="3">
      <c r="B3" s="9" t="inlineStr">
        <is>
          <t>Revenue Fluent  ·  humacity.com</t>
        </is>
      </c>
    </row>
    <row r="5">
      <c r="B5" s="10" t="inlineStr">
        <is>
          <t>ASSUMPTIONS</t>
        </is>
      </c>
    </row>
    <row r="6">
      <c r="B6" s="11" t="inlineStr">
        <is>
          <t>INPUT</t>
        </is>
      </c>
      <c r="C6" s="11" t="inlineStr">
        <is>
          <t>YOUR VALUE</t>
        </is>
      </c>
      <c r="E6" s="11" t="inlineStr">
        <is>
          <t>INPUT</t>
        </is>
      </c>
      <c r="F6" s="11" t="inlineStr">
        <is>
          <t>YOUR VALUE</t>
        </is>
      </c>
    </row>
    <row r="7">
      <c r="B7" s="8" t="inlineStr">
        <is>
          <t>Organisation name</t>
        </is>
      </c>
      <c r="C7" s="5" t="inlineStr">
        <is>
          <t>My Organisation</t>
        </is>
      </c>
      <c r="E7" s="8" t="inlineStr">
        <is>
          <t>Currency symbol</t>
        </is>
      </c>
      <c r="F7" s="5" t="inlineStr">
        <is>
          <t>₹</t>
        </is>
      </c>
    </row>
    <row r="8">
      <c r="B8" s="8" t="inlineStr">
        <is>
          <t>Period</t>
        </is>
      </c>
      <c r="C8" s="5" t="inlineStr">
        <is>
          <t>FY2026</t>
        </is>
      </c>
      <c r="E8" s="8" t="inlineStr">
        <is>
          <t>Total headcount</t>
        </is>
      </c>
      <c r="F8" s="5" t="n">
        <v>100</v>
      </c>
    </row>
    <row r="9">
      <c r="B9" s="8" t="inlineStr">
        <is>
          <t>Comp base</t>
        </is>
      </c>
      <c r="C9" s="5" t="n">
        <v>50000000</v>
      </c>
      <c r="E9" s="8" t="inlineStr">
        <is>
          <t>Avg salary</t>
        </is>
      </c>
      <c r="F9" s="5" t="n">
        <v>500000</v>
      </c>
    </row>
    <row r="12">
      <c r="B12" s="11" t="inlineStr">
        <is>
          <t>HUMAN ASSETS</t>
        </is>
      </c>
      <c r="C12" s="11" t="inlineStr">
        <is>
          <t>VALUE</t>
        </is>
      </c>
      <c r="E12" s="11" t="inlineStr">
        <is>
          <t>HUMAN LIABILITIES</t>
        </is>
      </c>
      <c r="F12" s="11" t="inlineStr">
        <is>
          <t>VALUE</t>
        </is>
      </c>
    </row>
    <row r="13">
      <c r="B13" s="12" t="inlineStr">
        <is>
          <t>Talent Equity</t>
        </is>
      </c>
      <c r="C13" s="5" t="n">
        <v>4800000</v>
      </c>
      <c r="E13" s="13" t="inlineStr">
        <is>
          <t>Talent Concentration Risk</t>
        </is>
      </c>
      <c r="F13" s="5" t="n">
        <v>680000</v>
      </c>
    </row>
    <row r="14">
      <c r="B14" s="12" t="inlineStr">
        <is>
          <t>Institutional Knowledge</t>
        </is>
      </c>
      <c r="C14" s="5" t="n">
        <v>1200000</v>
      </c>
      <c r="E14" s="13" t="inlineStr">
        <is>
          <t>Skill Debt</t>
        </is>
      </c>
      <c r="F14" s="5" t="n">
        <v>340000</v>
      </c>
    </row>
    <row r="15">
      <c r="B15" s="12" t="inlineStr">
        <is>
          <t>Organisational Learning Velocity</t>
        </is>
      </c>
      <c r="C15" s="5" t="n">
        <v>620000</v>
      </c>
      <c r="E15" s="13" t="inlineStr">
        <is>
          <t>Growth Readiness Gap</t>
        </is>
      </c>
      <c r="F15" s="5" t="n">
        <v>520000</v>
      </c>
    </row>
    <row r="16">
      <c r="B16" s="12" t="inlineStr">
        <is>
          <t>Relationship Capital</t>
        </is>
      </c>
      <c r="C16" s="5" t="n">
        <v>2100000</v>
      </c>
      <c r="E16" s="13" t="inlineStr">
        <is>
          <t>Culture Liability</t>
        </is>
      </c>
      <c r="F16" s="5" t="n">
        <v>290000</v>
      </c>
    </row>
    <row r="17">
      <c r="B17" s="12" t="inlineStr">
        <is>
          <t>Culture Asset</t>
        </is>
      </c>
      <c r="C17" s="5" t="n">
        <v>890000</v>
      </c>
      <c r="E17" s="13" t="inlineStr">
        <is>
          <t>Workforce Obsolescence Risk</t>
        </is>
      </c>
      <c r="F17" s="5" t="n">
        <v>180000</v>
      </c>
    </row>
    <row r="19">
      <c r="B19" s="7" t="inlineStr">
        <is>
          <t>TOTAL HUMAN ASSETS</t>
        </is>
      </c>
      <c r="C19" s="7">
        <f>SUM(C13:C17)</f>
        <v/>
      </c>
      <c r="E19" s="7" t="inlineStr">
        <is>
          <t>TOTAL HUMAN LIABILITIES</t>
        </is>
      </c>
      <c r="F19" s="7">
        <f>SUM(F13:F17)</f>
        <v/>
      </c>
    </row>
    <row r="21">
      <c r="B21" s="14" t="inlineStr">
        <is>
          <t>NET HUMAN WORTH  =  Total Assets  −  Total Liabilities</t>
        </is>
      </c>
      <c r="F21" s="15">
        <f>C19-F19</f>
        <v/>
      </c>
    </row>
  </sheetData>
  <mergeCells count="3">
    <mergeCell ref="B2:F2"/>
    <mergeCell ref="B21:E21"/>
    <mergeCell ref="B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2026-08-17T13:39:35Z</dcterms:created>
  <dcterms:modified xmlns:dcterms="http://purl.org/dc/terms/" xmlns:xsi="http://www.w3.org/2001/XMLSchema-instance" xsi:type="dcterms:W3CDTF">2026-08-17T13:39:35Z</dcterms:modified>
</cp:coreProperties>
</file>