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· Summary" sheetId="1" state="visible" r:id="rId1"/>
    <sheet xmlns:r="http://schemas.openxmlformats.org/officeDocument/2006/relationships" name="02 · Five Verdicts" sheetId="2" state="visible" r:id="rId2"/>
    <sheet xmlns:r="http://schemas.openxmlformats.org/officeDocument/2006/relationships" name="03 · Forward Projection" sheetId="3" state="visible" r:id="rId3"/>
    <sheet xmlns:r="http://schemas.openxmlformats.org/officeDocument/2006/relationships" name="04 · HCI &amp; Workings" sheetId="4" state="visible" r:id="rId4"/>
    <sheet xmlns:r="http://schemas.openxmlformats.org/officeDocument/2006/relationships" name="05 · Board Stat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A5B4FC"/>
      <sz val="9"/>
    </font>
    <font>
      <name val="Arial"/>
      <b val="1"/>
      <color rgb="00818CF8"/>
      <sz val="9"/>
    </font>
    <font>
      <name val="Arial"/>
      <b val="1"/>
      <color rgb="00E2E8FF"/>
      <sz val="9"/>
    </font>
    <font>
      <name val="Arial"/>
      <b val="1"/>
      <color rgb="00C4B5FD"/>
      <sz val="9"/>
    </font>
    <font>
      <name val="Arial"/>
      <color rgb="00E2E8FF"/>
      <sz val="9"/>
    </font>
    <font>
      <name val="Arial"/>
      <color rgb="00C4B5FD"/>
      <sz val="9"/>
    </font>
    <font>
      <name val="Arial"/>
      <b val="1"/>
      <color rgb="00C4B5FD"/>
      <sz val="22"/>
    </font>
    <font>
      <name val="Arial"/>
      <b val="1"/>
      <color rgb="0038C490"/>
      <sz val="9"/>
    </font>
    <font>
      <name val="Arial"/>
      <color rgb="00818CF8"/>
      <sz val="9"/>
    </font>
    <font>
      <name val="Arial"/>
      <color rgb="00A5B4FC"/>
      <sz val="8"/>
    </font>
    <font>
      <name val="Arial"/>
      <color rgb="0038C490"/>
      <sz val="9"/>
    </font>
    <font>
      <name val="Arial"/>
      <b val="1"/>
      <color rgb="00C4B5FD"/>
      <sz val="10"/>
    </font>
    <font>
      <name val="Arial"/>
      <b val="1"/>
      <color rgb="00C4B5FD"/>
      <sz val="12"/>
    </font>
    <font>
      <name val="Arial"/>
      <b val="1"/>
      <color rgb="0038C490"/>
      <sz val="12"/>
    </font>
    <font>
      <name val="Arial"/>
      <b val="1"/>
      <color rgb="00E2E8FF"/>
      <sz val="12"/>
    </font>
    <font>
      <name val="Arial"/>
      <b val="1"/>
      <color rgb="00C4B5FD"/>
      <sz val="14"/>
    </font>
    <font>
      <name val="Arial"/>
      <color rgb="00818CF8"/>
      <sz val="8"/>
    </font>
  </fonts>
  <fills count="5">
    <fill>
      <patternFill/>
    </fill>
    <fill>
      <patternFill patternType="gray125"/>
    </fill>
    <fill>
      <patternFill patternType="solid">
        <fgColor rgb="00050410"/>
      </patternFill>
    </fill>
    <fill>
      <patternFill patternType="solid">
        <fgColor rgb="000D0B1E"/>
      </patternFill>
    </fill>
    <fill>
      <patternFill patternType="solid">
        <fgColor rgb="001A18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17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3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THE TALENT PREMIUM — L2</t>
        </is>
      </c>
    </row>
    <row r="2">
      <c r="A2" s="2" t="inlineStr">
        <is>
          <t>Revenue Fluent · Five Verdict Areas · Forward Projection · Board Statement</t>
        </is>
      </c>
    </row>
    <row r="3">
      <c r="B3" s="3" t="inlineStr">
        <is>
          <t>ORGANISATION INPUTS</t>
        </is>
      </c>
    </row>
    <row r="4">
      <c r="B4" s="4" t="inlineStr">
        <is>
          <t>Organisation name</t>
        </is>
      </c>
      <c r="C4" s="5" t="inlineStr">
        <is>
          <t>[Enter your org name]</t>
        </is>
      </c>
    </row>
    <row r="5">
      <c r="B5" s="6" t="inlineStr">
        <is>
          <t>Total employees</t>
        </is>
      </c>
      <c r="C5" s="7" t="inlineStr">
        <is>
          <t>[Enter number]</t>
        </is>
      </c>
      <c r="D5" s="2" t="inlineStr">
        <is>
          <t>Number of people in org</t>
        </is>
      </c>
    </row>
    <row r="6">
      <c r="B6" s="6" t="inlineStr">
        <is>
          <t>Geography / Currency</t>
        </is>
      </c>
      <c r="C6" s="7" t="inlineStr">
        <is>
          <t>[e.g. USD · New York]</t>
        </is>
      </c>
      <c r="D6" s="2" t="inlineStr">
        <is>
          <t>Determines currency display</t>
        </is>
      </c>
    </row>
    <row r="7">
      <c r="B7" s="6" t="inlineStr">
        <is>
          <t>Total compensation base</t>
        </is>
      </c>
      <c r="C7" s="7" t="inlineStr">
        <is>
          <t>[Enter annual salary bill]</t>
        </is>
      </c>
      <c r="D7" s="2" t="inlineStr">
        <is>
          <t>$#,##0</t>
        </is>
      </c>
    </row>
    <row r="8">
      <c r="B8" s="6" t="inlineStr">
        <is>
          <t>Assessment period</t>
        </is>
      </c>
      <c r="C8" s="7" t="inlineStr">
        <is>
          <t>[e.g. FY2026 · Q1]</t>
        </is>
      </c>
      <c r="D8" s="2" t="inlineStr">
        <is>
          <t>Period this model covers</t>
        </is>
      </c>
    </row>
    <row r="9">
      <c r="B9" s="6" t="inlineStr">
        <is>
          <t>HR function cost</t>
        </is>
      </c>
      <c r="C9" s="7" t="inlineStr">
        <is>
          <t>[Annual HR team + tools cost]</t>
        </is>
      </c>
      <c r="D9" s="2" t="inlineStr">
        <is>
          <t>$#,##0</t>
        </is>
      </c>
    </row>
    <row r="11">
      <c r="B11" s="3" t="inlineStr">
        <is>
          <t>TALENT QUALITY PREMIUM (TQP)</t>
        </is>
      </c>
    </row>
    <row r="12">
      <c r="B12" s="8" t="inlineStr">
        <is>
          <t>Talent Quality Premium</t>
        </is>
      </c>
      <c r="C12" s="9" t="inlineStr">
        <is>
          <t>[Enter TQP from platform]</t>
        </is>
      </c>
    </row>
    <row r="13">
      <c r="B13" s="6" t="inlineStr">
        <is>
          <t>HCI Coefficient</t>
        </is>
      </c>
      <c r="C13" s="10" t="inlineStr">
        <is>
          <t>[0.70 – 1.30]</t>
        </is>
      </c>
      <c r="D13" s="10" t="inlineStr">
        <is>
          <t>Human Confidence Index</t>
        </is>
      </c>
    </row>
    <row r="14">
      <c r="B14" s="6" t="inlineStr">
        <is>
          <t>HCI-Adjusted TQP</t>
        </is>
      </c>
      <c r="C14" s="11">
        <f>IFERROR(C12*C13,"")</f>
        <v/>
      </c>
      <c r="D14" s="10" t="inlineStr">
        <is>
          <t>Base TQP x HCI coefficient</t>
        </is>
      </c>
    </row>
    <row r="16">
      <c r="B16" s="3" t="inlineStr">
        <is>
          <t>TQP COMPONENTS</t>
        </is>
      </c>
    </row>
    <row r="17">
      <c r="B17" s="3" t="inlineStr">
        <is>
          <t>Component</t>
        </is>
      </c>
      <c r="C17" s="3" t="inlineStr">
        <is>
          <t>Value</t>
        </is>
      </c>
      <c r="D17" s="3" t="inlineStr">
        <is>
          <t>% of TQP</t>
        </is>
      </c>
      <c r="E17" s="3" t="inlineStr">
        <is>
          <t>Notes</t>
        </is>
      </c>
    </row>
    <row r="18">
      <c r="B18" s="6" t="inlineStr">
        <is>
          <t>Performance Premium</t>
        </is>
      </c>
      <c r="C18" s="12" t="inlineStr">
        <is>
          <t>[Enter from platform]</t>
        </is>
      </c>
      <c r="D18" s="13">
        <f>IFERROR(C18/C12,"-")</f>
        <v/>
      </c>
      <c r="E18" s="8" t="inlineStr">
        <is>
          <t>Staff above grade performance baseline</t>
        </is>
      </c>
    </row>
    <row r="19">
      <c r="B19" s="14" t="inlineStr">
        <is>
          <t>Retention Premium</t>
        </is>
      </c>
      <c r="C19" s="15" t="inlineStr">
        <is>
          <t>[Enter from platform]</t>
        </is>
      </c>
      <c r="D19" s="16">
        <f>IFERROR(C19/C12,"-")</f>
        <v/>
      </c>
      <c r="E19" s="2" t="inlineStr">
        <is>
          <t>Stars / HPs / HiPos retained above baseline</t>
        </is>
      </c>
    </row>
    <row r="20">
      <c r="B20" s="6" t="inlineStr">
        <is>
          <t>Hiring Premium</t>
        </is>
      </c>
      <c r="C20" s="12" t="inlineStr">
        <is>
          <t>[Enter from platform]</t>
        </is>
      </c>
      <c r="D20" s="13">
        <f>IFERROR(C20/C12,"-")</f>
        <v/>
      </c>
      <c r="E20" s="8" t="inlineStr">
        <is>
          <t>Recent hires (&lt; 1yr) above baseline</t>
        </is>
      </c>
    </row>
    <row r="21">
      <c r="B21" s="17" t="inlineStr">
        <is>
          <t>TOTAL TQP</t>
        </is>
      </c>
      <c r="C21" s="5">
        <f>SUM(C18:C20)</f>
        <v/>
      </c>
      <c r="D21" s="17">
        <f>IFERROR(C21/C12,"-")</f>
        <v/>
      </c>
      <c r="E21" s="17" t="inlineStr">
        <is>
          <t>Sum of three components</t>
        </is>
      </c>
    </row>
    <row r="23">
      <c r="B23" s="3" t="inlineStr">
        <is>
          <t>BENCHMARK POSITION</t>
        </is>
      </c>
    </row>
    <row r="24">
      <c r="B24" s="3" t="inlineStr">
        <is>
          <t>Benchmark</t>
        </is>
      </c>
      <c r="C24" s="3" t="inlineStr">
        <is>
          <t>TQP Value</t>
        </is>
      </c>
      <c r="D24" s="3" t="inlineStr">
        <is>
          <t>vs Your Org</t>
        </is>
      </c>
      <c r="E24" s="3" t="inlineStr">
        <is>
          <t>Source</t>
        </is>
      </c>
    </row>
    <row r="25">
      <c r="B25" s="6" t="inlineStr">
        <is>
          <t>Market average (all scenarios)</t>
        </is>
      </c>
      <c r="C25" s="13" t="inlineStr">
        <is>
          <t>[Enter from platform]</t>
        </is>
      </c>
      <c r="E25" s="18" t="inlineStr">
        <is>
          <t>Revenue Fluent dataset · 15 scenarios</t>
        </is>
      </c>
    </row>
    <row r="26">
      <c r="B26" s="14" t="inlineStr">
        <is>
          <t>Your organisation</t>
        </is>
      </c>
      <c r="C26" s="19">
        <f>C12</f>
        <v/>
      </c>
      <c r="E26" s="20" t="inlineStr">
        <is>
          <t>Computed from your inputs</t>
        </is>
      </c>
    </row>
    <row r="27">
      <c r="B27" s="6" t="inlineStr">
        <is>
          <t>Variance (vs market)</t>
        </is>
      </c>
      <c r="C27" s="21">
        <f>IFERROR(C26-C25,"")</f>
        <v/>
      </c>
      <c r="E27" s="18" t="inlineStr">
        <is>
          <t>Positive = above market</t>
        </is>
      </c>
    </row>
    <row r="29">
      <c r="B29" s="3" t="inlineStr">
        <is>
          <t>FIVE VERDICT AREAS — SUMMARY</t>
        </is>
      </c>
    </row>
    <row r="30">
      <c r="B30" s="3" t="inlineStr">
        <is>
          <t>Verdict Area</t>
        </is>
      </c>
      <c r="C30" s="3" t="inlineStr">
        <is>
          <t>Score /100</t>
        </is>
      </c>
      <c r="D30" s="3" t="inlineStr">
        <is>
          <t>Signal</t>
        </is>
      </c>
      <c r="E30" s="3" t="inlineStr">
        <is>
          <t>vs Market Avg</t>
        </is>
      </c>
    </row>
    <row r="31">
      <c r="B31" s="6" t="inlineStr">
        <is>
          <t>Promotion Accuracy</t>
        </is>
      </c>
      <c r="C31" s="22" t="inlineStr">
        <is>
          <t>[Enter from platform]</t>
        </is>
      </c>
      <c r="D31" s="21">
        <f>IF(C31="[Enter from platform]","",IF(C31&gt;=70,"Strong",IF(C31&gt;=50,"Watch","Weak")))</f>
        <v/>
      </c>
      <c r="E31" s="13">
        <f>IF(C31="[Enter from platform]","",C31-85)</f>
        <v/>
      </c>
    </row>
    <row r="32">
      <c r="B32" s="14" t="inlineStr">
        <is>
          <t>Manager Quality</t>
        </is>
      </c>
      <c r="C32" s="23" t="inlineStr">
        <is>
          <t>[Enter from platform]</t>
        </is>
      </c>
      <c r="D32" s="24">
        <f>IF(C32="[Enter from platform]","",IF(C32&gt;=70,"Strong",IF(C32&gt;=50,"Watch","Weak")))</f>
        <v/>
      </c>
      <c r="E32" s="16">
        <f>IF(C32="[Enter from platform]","",C32-62)</f>
        <v/>
      </c>
    </row>
    <row r="33">
      <c r="B33" s="6" t="inlineStr">
        <is>
          <t>Hiring Quality</t>
        </is>
      </c>
      <c r="C33" s="22" t="inlineStr">
        <is>
          <t>[Enter from platform]</t>
        </is>
      </c>
      <c r="D33" s="21">
        <f>IF(C33="[Enter from platform]","",IF(C33&gt;=70,"Strong",IF(C33&gt;=50,"Watch","Weak")))</f>
        <v/>
      </c>
      <c r="E33" s="13">
        <f>IF(C33="[Enter from platform]","",C33-46)</f>
        <v/>
      </c>
    </row>
    <row r="34">
      <c r="B34" s="14" t="inlineStr">
        <is>
          <t>Selective Retention</t>
        </is>
      </c>
      <c r="C34" s="23" t="inlineStr">
        <is>
          <t>[Enter from platform]</t>
        </is>
      </c>
      <c r="D34" s="24">
        <f>IF(C34="[Enter from platform]","",IF(C34&gt;=70,"Strong",IF(C34&gt;=50,"Watch","Weak")))</f>
        <v/>
      </c>
      <c r="E34" s="16">
        <f>IF(C34="[Enter from platform]","",C34-59)</f>
        <v/>
      </c>
    </row>
    <row r="35">
      <c r="B35" s="6" t="inlineStr">
        <is>
          <t>HiPo Identification</t>
        </is>
      </c>
      <c r="C35" s="22" t="inlineStr">
        <is>
          <t>[Enter from platform]</t>
        </is>
      </c>
      <c r="D35" s="21">
        <f>IF(C35="[Enter from platform]","",IF(C35&gt;=70,"Strong",IF(C35&gt;=50,"Watch","Weak")))</f>
        <v/>
      </c>
      <c r="E35" s="13">
        <f>IF(C35="[Enter from platform]","",C35-40)</f>
        <v/>
      </c>
    </row>
    <row r="36">
      <c r="B36" s="17" t="inlineStr">
        <is>
          <t>Overall Verdict Score</t>
        </is>
      </c>
      <c r="C36" s="25">
        <f>IFERROR(AVERAGE(C31,C32,C33,C34,C35),"")</f>
        <v/>
      </c>
      <c r="D36" s="26">
        <f>IF(C36="","",IF(C36&gt;=70,"Strong",IF(C36&gt;=50,"Watch","Weak")))</f>
        <v/>
      </c>
    </row>
    <row r="38">
      <c r="B38" s="27" t="inlineStr">
        <is>
          <t>HOW TO USE: Enter values in LAVENDER cells. All grey cells are auto-calculated. Copy scores from the Revenue Fluent platform.</t>
        </is>
      </c>
    </row>
  </sheetData>
  <mergeCells count="6">
    <mergeCell ref="B23:E23"/>
    <mergeCell ref="A2:H2"/>
    <mergeCell ref="B38:E38"/>
    <mergeCell ref="B29:E29"/>
    <mergeCell ref="A1:H1"/>
    <mergeCell ref="C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16" customWidth="1" min="4" max="4"/>
    <col width="38" customWidth="1" min="5" max="5"/>
  </cols>
  <sheetData>
    <row r="1">
      <c r="A1" s="1" t="inlineStr">
        <is>
          <t>FIVE VERDICT AREAS</t>
        </is>
      </c>
    </row>
    <row r="2">
      <c r="A2" s="2" t="inlineStr">
        <is>
          <t>Promotion Accuracy · Manager Quality · Hiring Quality · Selective Retention · HiPo Identification</t>
        </is>
      </c>
    </row>
    <row r="4">
      <c r="B4" s="28" t="inlineStr">
        <is>
          <t>V1 — Promotion Accuracy</t>
        </is>
      </c>
    </row>
    <row r="5">
      <c r="B5" s="29" t="inlineStr">
        <is>
          <t>Are promotions landing on the right people? Measures Stars above grade performance midpoint.</t>
        </is>
      </c>
    </row>
    <row r="6">
      <c r="B6" s="3" t="inlineStr">
        <is>
          <t>Input</t>
        </is>
      </c>
      <c r="C6" s="3" t="inlineStr">
        <is>
          <t>Your Value</t>
        </is>
      </c>
      <c r="D6" s="3" t="inlineStr">
        <is>
          <t>Market Avg Score</t>
        </is>
      </c>
      <c r="E6" s="3" t="inlineStr">
        <is>
          <t>Notes</t>
        </is>
      </c>
    </row>
    <row r="7">
      <c r="B7" s="14" t="inlineStr">
        <is>
          <t>Total Stars</t>
        </is>
      </c>
      <c r="C7" s="7" t="inlineStr">
        <is>
          <t>[Enter number]</t>
        </is>
      </c>
      <c r="E7" s="20" t="inlineStr">
        <is>
          <t>Star-rated employees in org</t>
        </is>
      </c>
    </row>
    <row r="8">
      <c r="B8" s="6" t="inlineStr">
        <is>
          <t>Stars at/above grade midpoint</t>
        </is>
      </c>
      <c r="C8" s="7" t="inlineStr">
        <is>
          <t>[Enter number]</t>
        </is>
      </c>
      <c r="E8" s="18" t="inlineStr">
        <is>
          <t>Stars performing above grade average</t>
        </is>
      </c>
    </row>
    <row r="9">
      <c r="B9" s="17" t="inlineStr">
        <is>
          <t>Promotion Accuracy Score</t>
        </is>
      </c>
      <c r="C9" s="30" t="inlineStr">
        <is>
          <t>[Enter from platform]</t>
        </is>
      </c>
      <c r="D9" s="10" t="n">
        <v>85</v>
      </c>
      <c r="E9" s="20">
        <f> Stars above midpoint / Total Stars x 100</f>
        <v/>
      </c>
    </row>
    <row r="10">
      <c r="B10" s="2" t="inlineStr">
        <is>
          <t>Signal</t>
        </is>
      </c>
      <c r="C10" s="31">
        <f>IF(C9="[Enter from platform]","",IF(C9&gt;=70,"STRONG",IF(C9&gt;=50,"WATCH","WEAK")))</f>
        <v/>
      </c>
      <c r="D10" s="16">
        <f>IF(C9="[Enter from platform]","",C9-85)</f>
        <v/>
      </c>
      <c r="E10" s="20" t="inlineStr">
        <is>
          <t>vs market average</t>
        </is>
      </c>
    </row>
    <row r="11">
      <c r="B11" s="14" t="inlineStr">
        <is>
          <t>Grade mismatches</t>
        </is>
      </c>
      <c r="C11" s="2" t="inlineStr">
        <is>
          <t>[Enter number]</t>
        </is>
      </c>
      <c r="E11" s="20" t="inlineStr">
        <is>
          <t>Stars below grade performance midpoint</t>
        </is>
      </c>
    </row>
    <row r="12">
      <c r="B12" s="14" t="inlineStr">
        <is>
          <t>C-Suite Inconsistent</t>
        </is>
      </c>
      <c r="C12" s="2" t="inlineStr">
        <is>
          <t>[Enter number]</t>
        </is>
      </c>
      <c r="E12" s="20" t="inlineStr">
        <is>
          <t>Senior leaders rated Inconsistent</t>
        </is>
      </c>
    </row>
    <row r="13">
      <c r="B13" s="32" t="inlineStr">
        <is>
          <t>Key Finding</t>
        </is>
      </c>
      <c r="C13" s="13" t="inlineStr">
        <is>
          <t>[Paste finding from platform or write your own]</t>
        </is>
      </c>
    </row>
    <row r="15">
      <c r="B15" s="28" t="inlineStr">
        <is>
          <t>V2 — Manager Quality</t>
        </is>
      </c>
    </row>
    <row r="16">
      <c r="B16" s="29" t="inlineStr">
        <is>
          <t>Are managers outperforming their direct report average? The only test of management quality that matters financially.</t>
        </is>
      </c>
    </row>
    <row r="17">
      <c r="B17" s="3" t="inlineStr">
        <is>
          <t>Input</t>
        </is>
      </c>
      <c r="C17" s="3" t="inlineStr">
        <is>
          <t>Your Value</t>
        </is>
      </c>
      <c r="D17" s="3" t="inlineStr">
        <is>
          <t>Market Avg Score</t>
        </is>
      </c>
      <c r="E17" s="3" t="inlineStr">
        <is>
          <t>Notes</t>
        </is>
      </c>
    </row>
    <row r="18">
      <c r="B18" s="14" t="inlineStr">
        <is>
          <t>Total managers</t>
        </is>
      </c>
      <c r="C18" s="7" t="inlineStr">
        <is>
          <t>[Enter number]</t>
        </is>
      </c>
      <c r="E18" s="20" t="inlineStr">
        <is>
          <t>People managers in org</t>
        </is>
      </c>
    </row>
    <row r="19">
      <c r="B19" s="6" t="inlineStr">
        <is>
          <t>Managers below team avg</t>
        </is>
      </c>
      <c r="C19" s="7" t="inlineStr">
        <is>
          <t>[Enter number]</t>
        </is>
      </c>
      <c r="E19" s="18" t="inlineStr">
        <is>
          <t>Managers performing below their direct reports</t>
        </is>
      </c>
    </row>
    <row r="20">
      <c r="B20" s="17" t="inlineStr">
        <is>
          <t>Manager Quality Score</t>
        </is>
      </c>
      <c r="C20" s="30" t="inlineStr">
        <is>
          <t>[Enter from platform]</t>
        </is>
      </c>
      <c r="D20" s="10" t="n">
        <v>62</v>
      </c>
      <c r="E20" s="20">
        <f> (Managers - Below avg) / Total managers x 100</f>
        <v/>
      </c>
    </row>
    <row r="21">
      <c r="B21" s="2" t="inlineStr">
        <is>
          <t>Signal</t>
        </is>
      </c>
      <c r="C21" s="31">
        <f>IF(C20="[Enter from platform]","",IF(C20&gt;=70,"STRONG",IF(C20&gt;=50,"WATCH","WEAK")))</f>
        <v/>
      </c>
      <c r="D21" s="16">
        <f>IF(C20="[Enter from platform]","",C20-62)</f>
        <v/>
      </c>
      <c r="E21" s="20" t="inlineStr">
        <is>
          <t>vs market average</t>
        </is>
      </c>
    </row>
    <row r="22">
      <c r="B22" s="14" t="inlineStr">
        <is>
          <t>Star-to-manager ratio</t>
        </is>
      </c>
      <c r="C22" s="2" t="inlineStr">
        <is>
          <t>[Enter x.x]</t>
        </is>
      </c>
      <c r="E22" s="20" t="inlineStr">
        <is>
          <t>Stars per manager — higher = stronger pipeline</t>
        </is>
      </c>
    </row>
    <row r="23">
      <c r="B23" s="14" t="inlineStr">
        <is>
          <t>Teams with no Star manager</t>
        </is>
      </c>
      <c r="C23" s="2" t="inlineStr">
        <is>
          <t>[Enter number]</t>
        </is>
      </c>
      <c r="E23" s="20" t="inlineStr">
        <is>
          <t>Teams where manager is below team average</t>
        </is>
      </c>
    </row>
    <row r="24">
      <c r="B24" s="32" t="inlineStr">
        <is>
          <t>Key Finding</t>
        </is>
      </c>
      <c r="C24" s="13" t="inlineStr">
        <is>
          <t>[Paste finding from platform or write your own]</t>
        </is>
      </c>
    </row>
    <row r="26">
      <c r="B26" s="28" t="inlineStr">
        <is>
          <t>V3 — Hiring Quality</t>
        </is>
      </c>
    </row>
    <row r="27">
      <c r="B27" s="29" t="inlineStr">
        <is>
          <t>Are recent hires (tenure &lt; 1yr) outperforming their grade baseline? Your intake bar determines 3yr talent trajectory.</t>
        </is>
      </c>
    </row>
    <row r="28">
      <c r="B28" s="3" t="inlineStr">
        <is>
          <t>Input</t>
        </is>
      </c>
      <c r="C28" s="3" t="inlineStr">
        <is>
          <t>Your Value</t>
        </is>
      </c>
      <c r="D28" s="3" t="inlineStr">
        <is>
          <t>Market Avg Score</t>
        </is>
      </c>
      <c r="E28" s="3" t="inlineStr">
        <is>
          <t>Notes</t>
        </is>
      </c>
    </row>
    <row r="29">
      <c r="B29" s="14" t="inlineStr">
        <is>
          <t>Total recent hires (&lt;1yr)</t>
        </is>
      </c>
      <c r="C29" s="7" t="inlineStr">
        <is>
          <t>[Enter number]</t>
        </is>
      </c>
      <c r="E29" s="20" t="inlineStr">
        <is>
          <t>Employees hired in last 12 months</t>
        </is>
      </c>
    </row>
    <row r="30">
      <c r="B30" s="6" t="inlineStr">
        <is>
          <t>Recent hires above baseline</t>
        </is>
      </c>
      <c r="C30" s="7" t="inlineStr">
        <is>
          <t>[Enter number]</t>
        </is>
      </c>
      <c r="E30" s="18" t="inlineStr">
        <is>
          <t>New hires outperforming grade average</t>
        </is>
      </c>
    </row>
    <row r="31">
      <c r="B31" s="17" t="inlineStr">
        <is>
          <t>Hiring Quality Score</t>
        </is>
      </c>
      <c r="C31" s="30" t="inlineStr">
        <is>
          <t>[Enter from platform]</t>
        </is>
      </c>
      <c r="D31" s="10" t="n">
        <v>46</v>
      </c>
      <c r="E31" s="20">
        <f> Hires above baseline / Total recent hires x 100</f>
        <v/>
      </c>
    </row>
    <row r="32">
      <c r="B32" s="2" t="inlineStr">
        <is>
          <t>Signal</t>
        </is>
      </c>
      <c r="C32" s="31">
        <f>IF(C31="[Enter from platform]","",IF(C31&gt;=70,"STRONG",IF(C31&gt;=50,"WATCH","WEAK")))</f>
        <v/>
      </c>
      <c r="D32" s="16">
        <f>IF(C31="[Enter from platform]","",C31-46)</f>
        <v/>
      </c>
      <c r="E32" s="20" t="inlineStr">
        <is>
          <t>vs market average</t>
        </is>
      </c>
    </row>
    <row r="33">
      <c r="B33" s="14" t="inlineStr">
        <is>
          <t>Early Inconsistent Performers</t>
        </is>
      </c>
      <c r="C33" s="2" t="inlineStr">
        <is>
          <t>[Enter number]</t>
        </is>
      </c>
      <c r="E33" s="20" t="inlineStr">
        <is>
          <t>New hires already rated Inconsistent</t>
        </is>
      </c>
    </row>
    <row r="34">
      <c r="B34" s="14" t="inlineStr">
        <is>
          <t>Avg ramp time to baseline</t>
        </is>
      </c>
      <c r="C34" s="2" t="inlineStr">
        <is>
          <t>[Enter months]</t>
        </is>
      </c>
      <c r="E34" s="20" t="inlineStr">
        <is>
          <t>Months to reach grade performance average</t>
        </is>
      </c>
    </row>
    <row r="35">
      <c r="B35" s="32" t="inlineStr">
        <is>
          <t>Key Finding</t>
        </is>
      </c>
      <c r="C35" s="13" t="inlineStr">
        <is>
          <t>[Paste finding from platform or write your own]</t>
        </is>
      </c>
    </row>
    <row r="37">
      <c r="B37" s="28" t="inlineStr">
        <is>
          <t>V4 — Selective Retention</t>
        </is>
      </c>
    </row>
    <row r="38">
      <c r="B38" s="29" t="inlineStr">
        <is>
          <t>Not how many left — but who left. Stars staying longer than Inconsistent Performers is the signal.</t>
        </is>
      </c>
    </row>
    <row r="39">
      <c r="B39" s="3" t="inlineStr">
        <is>
          <t>Input</t>
        </is>
      </c>
      <c r="C39" s="3" t="inlineStr">
        <is>
          <t>Your Value</t>
        </is>
      </c>
      <c r="D39" s="3" t="inlineStr">
        <is>
          <t>Market Avg Score</t>
        </is>
      </c>
      <c r="E39" s="3" t="inlineStr">
        <is>
          <t>Notes</t>
        </is>
      </c>
    </row>
    <row r="40">
      <c r="B40" s="14" t="inlineStr">
        <is>
          <t>Star avg tenure (years)</t>
        </is>
      </c>
      <c r="C40" s="7" t="inlineStr">
        <is>
          <t>[Enter x.x]</t>
        </is>
      </c>
      <c r="E40" s="20" t="inlineStr">
        <is>
          <t>Average tenure of Star-rated employees</t>
        </is>
      </c>
    </row>
    <row r="41">
      <c r="B41" s="6" t="inlineStr">
        <is>
          <t>Inconsistent avg tenure (years)</t>
        </is>
      </c>
      <c r="C41" s="7" t="inlineStr">
        <is>
          <t>[Enter x.x]</t>
        </is>
      </c>
      <c r="E41" s="18" t="inlineStr">
        <is>
          <t>Average tenure of Inconsistent Performers</t>
        </is>
      </c>
    </row>
    <row r="42">
      <c r="B42" s="17" t="inlineStr">
        <is>
          <t>Selective Retention Score</t>
        </is>
      </c>
      <c r="C42" s="30" t="inlineStr">
        <is>
          <t>[Enter from platform]</t>
        </is>
      </c>
      <c r="D42" s="10" t="n">
        <v>59</v>
      </c>
      <c r="E42" s="20" t="inlineStr">
        <is>
          <t>Star tenure vs Inconsistent tenure differential — normalised</t>
        </is>
      </c>
    </row>
    <row r="43">
      <c r="B43" s="2" t="inlineStr">
        <is>
          <t>Signal</t>
        </is>
      </c>
      <c r="C43" s="31">
        <f>IF(C42="[Enter from platform]","",IF(C42&gt;=70,"STRONG",IF(C42&gt;=50,"WATCH","WEAK")))</f>
        <v/>
      </c>
      <c r="D43" s="16">
        <f>IF(C42="[Enter from platform]","",C42-59)</f>
        <v/>
      </c>
      <c r="E43" s="20" t="inlineStr">
        <is>
          <t>vs market average</t>
        </is>
      </c>
    </row>
    <row r="44">
      <c r="B44" s="14" t="inlineStr">
        <is>
          <t>Total Inconsistent Performers</t>
        </is>
      </c>
      <c r="C44" s="2" t="inlineStr">
        <is>
          <t>[Enter number]</t>
        </is>
      </c>
      <c r="E44" s="20" t="inlineStr">
        <is>
          <t>Current Inconsistent Performers in org</t>
        </is>
      </c>
    </row>
    <row r="45">
      <c r="B45" s="14" t="inlineStr">
        <is>
          <t>Flight risk Stars</t>
        </is>
      </c>
      <c r="C45" s="2" t="inlineStr">
        <is>
          <t>[Enter number]</t>
        </is>
      </c>
      <c r="E45" s="20" t="inlineStr">
        <is>
          <t>Stars at risk of departure</t>
        </is>
      </c>
    </row>
    <row r="46">
      <c r="B46" s="32" t="inlineStr">
        <is>
          <t>Key Finding</t>
        </is>
      </c>
      <c r="C46" s="13" t="inlineStr">
        <is>
          <t>[Paste finding from platform or write your own]</t>
        </is>
      </c>
    </row>
    <row r="48">
      <c r="B48" s="28" t="inlineStr">
        <is>
          <t>V5 — HiPo Identification</t>
        </is>
      </c>
    </row>
    <row r="49">
      <c r="B49" s="29" t="inlineStr">
        <is>
          <t>Is the leadership pipeline calibrated to sustain current performance? HiPo density vs Star density.</t>
        </is>
      </c>
    </row>
    <row r="50">
      <c r="B50" s="3" t="inlineStr">
        <is>
          <t>Input</t>
        </is>
      </c>
      <c r="C50" s="3" t="inlineStr">
        <is>
          <t>Your Value</t>
        </is>
      </c>
      <c r="D50" s="3" t="inlineStr">
        <is>
          <t>Market Avg Score</t>
        </is>
      </c>
      <c r="E50" s="3" t="inlineStr">
        <is>
          <t>Notes</t>
        </is>
      </c>
    </row>
    <row r="51">
      <c r="B51" s="14" t="inlineStr">
        <is>
          <t>High Potentials identified</t>
        </is>
      </c>
      <c r="C51" s="7" t="inlineStr">
        <is>
          <t>[Enter number]</t>
        </is>
      </c>
      <c r="E51" s="20" t="inlineStr">
        <is>
          <t>Employees classified as High Potential</t>
        </is>
      </c>
    </row>
    <row r="52">
      <c r="B52" s="6" t="inlineStr">
        <is>
          <t>HiPos in stretch roles</t>
        </is>
      </c>
      <c r="C52" s="7" t="inlineStr">
        <is>
          <t>[Enter number]</t>
        </is>
      </c>
      <c r="E52" s="18" t="inlineStr">
        <is>
          <t>HiPos actively developing in challenging roles</t>
        </is>
      </c>
    </row>
    <row r="53">
      <c r="B53" s="17" t="inlineStr">
        <is>
          <t>HiPo Score</t>
        </is>
      </c>
      <c r="C53" s="30" t="inlineStr">
        <is>
          <t>[Enter from platform]</t>
        </is>
      </c>
      <c r="D53" s="10" t="n">
        <v>40</v>
      </c>
      <c r="E53" s="20" t="inlineStr">
        <is>
          <t>HiPo count relative to current Star density — pipeline calibration</t>
        </is>
      </c>
    </row>
    <row r="54">
      <c r="B54" s="2" t="inlineStr">
        <is>
          <t>Signal</t>
        </is>
      </c>
      <c r="C54" s="31">
        <f>IF(C53="[Enter from platform]","",IF(C53&gt;=70,"STRONG",IF(C53&gt;=50,"WATCH","WEAK")))</f>
        <v/>
      </c>
      <c r="D54" s="16">
        <f>IF(C53="[Enter from platform]","",C53-40)</f>
        <v/>
      </c>
      <c r="E54" s="20" t="inlineStr">
        <is>
          <t>vs market average</t>
        </is>
      </c>
    </row>
    <row r="55">
      <c r="B55" s="14" t="inlineStr">
        <is>
          <t>HiPo-to-Star ratio</t>
        </is>
      </c>
      <c r="C55" s="2" t="inlineStr">
        <is>
          <t>[Enter x.x or formula]</t>
        </is>
      </c>
      <c r="E55" s="20" t="inlineStr">
        <is>
          <t>HiPos / Stars — healthy pipeline ratio</t>
        </is>
      </c>
    </row>
    <row r="56">
      <c r="B56" s="14" t="inlineStr">
        <is>
          <t>HiPos at grade ceiling</t>
        </is>
      </c>
      <c r="C56" s="2" t="inlineStr">
        <is>
          <t>[Enter number]</t>
        </is>
      </c>
      <c r="E56" s="20" t="inlineStr">
        <is>
          <t>HiPos blocked from advancement by grade structure</t>
        </is>
      </c>
    </row>
    <row r="57">
      <c r="B57" s="32" t="inlineStr">
        <is>
          <t>Key Finding</t>
        </is>
      </c>
      <c r="C57" s="13" t="inlineStr">
        <is>
          <t>[Paste finding from platform or write your own]</t>
        </is>
      </c>
    </row>
  </sheetData>
  <mergeCells count="17">
    <mergeCell ref="B4:F4"/>
    <mergeCell ref="C13:F13"/>
    <mergeCell ref="B38:F38"/>
    <mergeCell ref="B16:F16"/>
    <mergeCell ref="C35:F35"/>
    <mergeCell ref="B15:F15"/>
    <mergeCell ref="B48:F48"/>
    <mergeCell ref="A2:H2"/>
    <mergeCell ref="B5:F5"/>
    <mergeCell ref="B37:F37"/>
    <mergeCell ref="C46:F46"/>
    <mergeCell ref="A1:H1"/>
    <mergeCell ref="C24:F24"/>
    <mergeCell ref="C57:F57"/>
    <mergeCell ref="B26:F26"/>
    <mergeCell ref="B27:F27"/>
    <mergeCell ref="B49:F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18" customWidth="1" min="4" max="4"/>
    <col width="18" customWidth="1" min="5" max="5"/>
    <col width="10" customWidth="1" min="6" max="6"/>
  </cols>
  <sheetData>
    <row r="1">
      <c r="A1" s="1" t="inlineStr">
        <is>
          <t>FORWARD PROJECTION</t>
        </is>
      </c>
    </row>
    <row r="2">
      <c r="A2" s="2" t="inlineStr">
        <is>
          <t>Scenario model · Conservative / Your Assessment / Optimistic · Lever uplift modelling</t>
        </is>
      </c>
    </row>
    <row r="3">
      <c r="B3" s="3" t="inlineStr">
        <is>
          <t>BASE TQP (from Summary tab)</t>
        </is>
      </c>
    </row>
    <row r="4">
      <c r="B4" s="6" t="inlineStr">
        <is>
          <t>Base TQP (HCI-adjusted)</t>
        </is>
      </c>
      <c r="C4" s="5">
        <f>IFERROR('01 · Summary'!C14,"")</f>
        <v/>
      </c>
      <c r="E4" s="10" t="inlineStr">
        <is>
          <t>Pulled from Summary tab</t>
        </is>
      </c>
    </row>
    <row r="6">
      <c r="B6" s="3" t="inlineStr">
        <is>
          <t>IMPROVEMENT LEVERS</t>
        </is>
      </c>
    </row>
    <row r="7">
      <c r="B7" s="3" t="inlineStr">
        <is>
          <t>Lever</t>
        </is>
      </c>
      <c r="C7" s="3" t="inlineStr">
        <is>
          <t>Verdict Area</t>
        </is>
      </c>
      <c r="D7" s="3" t="inlineStr">
        <is>
          <t>Estimated Uplift</t>
        </is>
      </c>
      <c r="E7" s="3" t="inlineStr">
        <is>
          <t>Include? (Y/N)</t>
        </is>
      </c>
    </row>
    <row r="8">
      <c r="B8" s="6" t="inlineStr">
        <is>
          <t>Upgrade manager layer</t>
        </is>
      </c>
      <c r="C8" s="13" t="inlineStr">
        <is>
          <t>Manager Quality</t>
        </is>
      </c>
      <c r="D8" s="21">
        <f>IFERROR('01 · Summary'!C14*0.12,"")</f>
        <v/>
      </c>
      <c r="E8" s="8" t="inlineStr">
        <is>
          <t>Y</t>
        </is>
      </c>
    </row>
    <row r="9">
      <c r="B9" s="14" t="inlineStr">
        <is>
          <t>Raise hiring bar</t>
        </is>
      </c>
      <c r="C9" s="16" t="inlineStr">
        <is>
          <t>Hiring Quality</t>
        </is>
      </c>
      <c r="D9" s="24">
        <f>IFERROR('01 · Summary'!C14*0.08,"")</f>
        <v/>
      </c>
      <c r="E9" s="2" t="inlineStr">
        <is>
          <t>Y</t>
        </is>
      </c>
    </row>
    <row r="10">
      <c r="B10" s="6" t="inlineStr">
        <is>
          <t>Activate HiPo pipeline</t>
        </is>
      </c>
      <c r="C10" s="13" t="inlineStr">
        <is>
          <t>HiPo Identification</t>
        </is>
      </c>
      <c r="D10" s="21">
        <f>IFERROR('01 · Summary'!C14*0.06,"")</f>
        <v/>
      </c>
      <c r="E10" s="8" t="inlineStr">
        <is>
          <t>Y</t>
        </is>
      </c>
    </row>
    <row r="11">
      <c r="B11" s="14" t="inlineStr">
        <is>
          <t>Tighten promotion criteria</t>
        </is>
      </c>
      <c r="C11" s="16" t="inlineStr">
        <is>
          <t>Promotion Accuracy</t>
        </is>
      </c>
      <c r="D11" s="24">
        <f>IFERROR('01 · Summary'!C14*0.05,"")</f>
        <v/>
      </c>
      <c r="E11" s="2" t="inlineStr">
        <is>
          <t>N</t>
        </is>
      </c>
    </row>
    <row r="12">
      <c r="B12" s="6" t="inlineStr">
        <is>
          <t>Invert retention focus</t>
        </is>
      </c>
      <c r="C12" s="13" t="inlineStr">
        <is>
          <t>Selective Retention</t>
        </is>
      </c>
      <c r="D12" s="21">
        <f>IFERROR('01 · Summary'!C14*0.07,"")</f>
        <v/>
      </c>
      <c r="E12" s="8" t="inlineStr">
        <is>
          <t>N</t>
        </is>
      </c>
    </row>
    <row r="14">
      <c r="B14" s="3" t="inlineStr">
        <is>
          <t>SELECTED LEVER UPLIFT</t>
        </is>
      </c>
    </row>
    <row r="15">
      <c r="B15" s="4" t="inlineStr">
        <is>
          <t>Total selected uplift</t>
        </is>
      </c>
      <c r="C15" s="33">
        <f>IFERROR(IF(E8="Y",D8,0)+IF(E9="Y",D9,0)+IF(E10="Y",D10,0)+IF(E11="Y",D11,0)+IF(E12="Y",D12,0),"")</f>
        <v/>
      </c>
    </row>
    <row r="17">
      <c r="B17" s="3" t="inlineStr">
        <is>
          <t>THREE-SCENARIO PROJECTION</t>
        </is>
      </c>
    </row>
    <row r="18">
      <c r="B18" s="5" t="inlineStr">
        <is>
          <t>Line Item</t>
        </is>
      </c>
      <c r="C18" s="5" t="inlineStr">
        <is>
          <t>Conservative</t>
        </is>
      </c>
      <c r="D18" s="5" t="inlineStr">
        <is>
          <t>Your Assessment</t>
        </is>
      </c>
      <c r="E18" s="5" t="inlineStr">
        <is>
          <t>Optimistic</t>
        </is>
      </c>
    </row>
    <row r="19">
      <c r="B19" s="6" t="inlineStr">
        <is>
          <t>Current TQP (base)</t>
        </is>
      </c>
      <c r="C19" s="13">
        <f>IFERROR('01 · Summary'!C14*0.85,"")</f>
        <v/>
      </c>
      <c r="D19" s="13">
        <f>IFERROR('01 · Summary'!C14,"")</f>
        <v/>
      </c>
      <c r="E19" s="13">
        <f>IFERROR('01 · Summary'!C14*1.15,"")</f>
        <v/>
      </c>
    </row>
    <row r="20">
      <c r="B20" s="14" t="inlineStr">
        <is>
          <t>Lever uplift (selected)</t>
        </is>
      </c>
      <c r="C20" s="16">
        <f>IFERROR(C15*0.85,"")</f>
        <v/>
      </c>
      <c r="D20" s="16">
        <f>IFERROR(C15,"")</f>
        <v/>
      </c>
      <c r="E20" s="16">
        <f>IFERROR(C15*1.15,"")</f>
        <v/>
      </c>
    </row>
    <row r="22">
      <c r="B22" s="17" t="inlineStr">
        <is>
          <t>PROJECTED TQP</t>
        </is>
      </c>
      <c r="C22" s="5">
        <f>IFERROR(C19+C20,"")</f>
        <v/>
      </c>
      <c r="D22" s="5">
        <f>IFERROR(D19+D20,"")</f>
        <v/>
      </c>
      <c r="E22" s="5">
        <f>IFERROR(E19+E20,"")</f>
        <v/>
      </c>
    </row>
    <row r="23">
      <c r="B23" s="14" t="inlineStr">
        <is>
          <t>vs Current TQP</t>
        </is>
      </c>
      <c r="C23" s="24">
        <f>IFERROR(C22-'01 · Summary'!C14,"")</f>
        <v/>
      </c>
      <c r="D23" s="24">
        <f>IFERROR(D22-'01 · Summary'!C14,"")</f>
        <v/>
      </c>
      <c r="E23" s="24">
        <f>IFERROR(E22-'01 · Summary'!C14,"")</f>
        <v/>
      </c>
    </row>
    <row r="24">
      <c r="B24" s="14" t="inlineStr">
        <is>
          <t>Uplift %</t>
        </is>
      </c>
      <c r="C24" s="16">
        <f>IFERROR(IFERROR(C22/ABS('01 · Summary'!C14),0),"")</f>
        <v/>
      </c>
      <c r="D24" s="16">
        <f>IFERROR(IFERROR(D22/ABS('01 · Summary'!C14),0),"")</f>
        <v/>
      </c>
      <c r="E24" s="16">
        <f>IFERROR(IFERROR(E22/ABS('01 · Summary'!C14),0),"")</f>
        <v/>
      </c>
    </row>
    <row r="26">
      <c r="B26" s="27" t="inlineStr">
        <is>
          <t>NOTE: This is a scenario model, not a forecast. Conservative = -15% conditions; Optimistic = +15% conditions.</t>
        </is>
      </c>
    </row>
  </sheetData>
  <mergeCells count="6">
    <mergeCell ref="B17:E17"/>
    <mergeCell ref="B26:E26"/>
    <mergeCell ref="A2:H2"/>
    <mergeCell ref="B6:E6"/>
    <mergeCell ref="A1:H1"/>
    <mergeCell ref="B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2" customWidth="1" min="3" max="3"/>
    <col width="14" customWidth="1" min="4" max="4"/>
    <col width="36" customWidth="1" min="5" max="5"/>
  </cols>
  <sheetData>
    <row r="1">
      <c r="A1" s="1" t="inlineStr">
        <is>
          <t>HUMAN CONFIDENCE INDEX &amp; SHOW WORKINGS</t>
        </is>
      </c>
    </row>
    <row r="2">
      <c r="A2" s="2" t="inlineStr">
        <is>
          <t>HCI coefficient · Four observable factors · Three-scenario analysis · TQP methodology</t>
        </is>
      </c>
    </row>
    <row r="3">
      <c r="B3" s="3" t="inlineStr">
        <is>
          <t>THE HUMAN CONFIDENCE INDEX (HCI)</t>
        </is>
      </c>
    </row>
    <row r="4">
      <c r="B4" s="34" t="inlineStr">
        <is>
          <t>The HCI is a named coefficient (0.70 to 1.30) that adjusts the raw TQP for organisational conditions. Four observable factors. Each YES adds +0.15 to the base of 0.70.</t>
        </is>
      </c>
    </row>
    <row r="5">
      <c r="B5" s="3" t="inlineStr">
        <is>
          <t>HCI Factor</t>
        </is>
      </c>
      <c r="C5" s="3" t="inlineStr">
        <is>
          <t>Yes / No</t>
        </is>
      </c>
      <c r="D5" s="3" t="inlineStr">
        <is>
          <t>Impact</t>
        </is>
      </c>
      <c r="E5" s="3" t="inlineStr">
        <is>
          <t>Guidance</t>
        </is>
      </c>
    </row>
    <row r="6">
      <c r="B6" s="6" t="inlineStr">
        <is>
          <t>Leadership Stability</t>
        </is>
      </c>
      <c r="C6" s="8" t="inlineStr">
        <is>
          <t>YES</t>
        </is>
      </c>
      <c r="D6" s="21" t="inlineStr">
        <is>
          <t>+0.15</t>
        </is>
      </c>
      <c r="E6" s="29" t="inlineStr">
        <is>
          <t>Is leadership stable, present, and actively engaged right now?</t>
        </is>
      </c>
    </row>
    <row r="7">
      <c r="B7" s="14" t="inlineStr">
        <is>
          <t>Org Disruption Free</t>
        </is>
      </c>
      <c r="C7" s="2" t="inlineStr">
        <is>
          <t>YES</t>
        </is>
      </c>
      <c r="D7" s="24" t="inlineStr">
        <is>
          <t>+0.15</t>
        </is>
      </c>
      <c r="E7" s="34" t="inlineStr">
        <is>
          <t>Is the org free from major disruption, restructure, M&amp;A, or crisis?</t>
        </is>
      </c>
    </row>
    <row r="8">
      <c r="B8" s="6" t="inlineStr">
        <is>
          <t>Culture Health</t>
        </is>
      </c>
      <c r="C8" s="8" t="inlineStr">
        <is>
          <t>YES</t>
        </is>
      </c>
      <c r="D8" s="21" t="inlineStr">
        <is>
          <t>+0.15</t>
        </is>
      </c>
      <c r="E8" s="29" t="inlineStr">
        <is>
          <t>Is the culture broadly functional and not in crisis?</t>
        </is>
      </c>
    </row>
    <row r="9">
      <c r="B9" s="14" t="inlineStr">
        <is>
          <t>Execution Momentum</t>
        </is>
      </c>
      <c r="C9" s="2" t="inlineStr">
        <is>
          <t>YES</t>
        </is>
      </c>
      <c r="D9" s="24" t="inlineStr">
        <is>
          <t>+0.15</t>
        </is>
      </c>
      <c r="E9" s="34" t="inlineStr">
        <is>
          <t>Is the org executing well against its current strategic priorities?</t>
        </is>
      </c>
    </row>
    <row r="10">
      <c r="B10" s="17" t="inlineStr">
        <is>
          <t>HCI Coefficient</t>
        </is>
      </c>
      <c r="C10" s="30">
        <f>0.7+(IF(C6="YES",1,0)+IF(C7="YES",1,0)+IF(C8="YES",1,0)+IF(C9="YES",1,0))*0.15</f>
        <v/>
      </c>
      <c r="D10" s="35" t="inlineStr">
        <is>
          <t>0.70 + (count of YES x 0.15)</t>
        </is>
      </c>
    </row>
    <row r="12">
      <c r="B12" s="3" t="inlineStr">
        <is>
          <t>THREE HCI SCENARIOS</t>
        </is>
      </c>
    </row>
    <row r="13">
      <c r="B13" s="3" t="inlineStr">
        <is>
          <t>Scenario</t>
        </is>
      </c>
      <c r="C13" s="3" t="inlineStr">
        <is>
          <t>HCI</t>
        </is>
      </c>
      <c r="D13" s="3" t="inlineStr">
        <is>
          <t>Adjusted TQP</t>
        </is>
      </c>
      <c r="E13" s="3" t="inlineStr">
        <is>
          <t>Interpretation</t>
        </is>
      </c>
    </row>
    <row r="14">
      <c r="B14" s="6" t="inlineStr">
        <is>
          <t>Conservative</t>
        </is>
      </c>
      <c r="C14" s="13">
        <f>MAX(0.7,C10-0.15)</f>
        <v/>
      </c>
      <c r="D14" s="8">
        <f>IFERROR(C14*'01 · Summary'!C12,"")</f>
        <v/>
      </c>
      <c r="E14" s="8" t="inlineStr">
        <is>
          <t>HCI -0.15 — conditions slightly worse than assessed</t>
        </is>
      </c>
    </row>
    <row r="15">
      <c r="B15" s="17" t="inlineStr">
        <is>
          <t>Your Assessment</t>
        </is>
      </c>
      <c r="C15" s="5">
        <f>C10</f>
        <v/>
      </c>
      <c r="D15" s="5">
        <f>IFERROR(C15*'01 · Summary'!C12,"")</f>
        <v/>
      </c>
      <c r="E15" s="10" t="inlineStr">
        <is>
          <t>Your HCI — the number you should present</t>
        </is>
      </c>
    </row>
    <row r="16">
      <c r="B16" s="6" t="inlineStr">
        <is>
          <t>Optimistic</t>
        </is>
      </c>
      <c r="C16" s="13">
        <f>MIN(1.3,C10+0.15)</f>
        <v/>
      </c>
      <c r="D16" s="8">
        <f>IFERROR(C16*'01 · Summary'!C12,"")</f>
        <v/>
      </c>
      <c r="E16" s="8" t="inlineStr">
        <is>
          <t>HCI +0.15 — conditions slightly better than assessed</t>
        </is>
      </c>
    </row>
    <row r="18">
      <c r="B18" s="3" t="inlineStr">
        <is>
          <t>SHOW WORKINGS — TQP METHODOLOGY</t>
        </is>
      </c>
    </row>
    <row r="19">
      <c r="B19" s="3" t="inlineStr">
        <is>
          <t>PERFORMANCE PREMIUM</t>
        </is>
      </c>
    </row>
    <row r="20">
      <c r="B20" s="16" t="inlineStr">
        <is>
          <t>Formula</t>
        </is>
      </c>
      <c r="C20" s="2" t="inlineStr">
        <is>
          <t>Σ (perf_score - grade_avg) × salary for each employee</t>
        </is>
      </c>
    </row>
    <row r="21">
      <c r="B21" s="16" t="inlineStr">
        <is>
          <t>Input: Grade averages</t>
        </is>
      </c>
      <c r="C21" s="2" t="inlineStr">
        <is>
          <t>Computed from all employees in same grade</t>
        </is>
      </c>
      <c r="E21" s="20" t="inlineStr">
        <is>
          <t>Revenue Fluent dataset · rf-data.js v5.0</t>
        </is>
      </c>
    </row>
    <row r="22">
      <c r="B22" s="16" t="inlineStr">
        <is>
          <t>Input: Performance surplus</t>
        </is>
      </c>
      <c r="C22" s="2" t="inlineStr">
        <is>
          <t>Per-employee deviation above/below grade benchmark</t>
        </is>
      </c>
      <c r="E22" s="20" t="inlineStr">
        <is>
          <t>Salary-weighted</t>
        </is>
      </c>
    </row>
    <row r="23">
      <c r="B23" s="16" t="inlineStr">
        <is>
          <t>Output</t>
        </is>
      </c>
      <c r="C23" s="2" t="inlineStr">
        <is>
          <t>Total financial value of above-baseline performance</t>
        </is>
      </c>
      <c r="E23" s="20" t="inlineStr">
        <is>
          <t>$#,##0</t>
        </is>
      </c>
    </row>
    <row r="25">
      <c r="B25" s="3" t="inlineStr">
        <is>
          <t>RETENTION PREMIUM</t>
        </is>
      </c>
    </row>
    <row r="26">
      <c r="B26" s="16" t="inlineStr">
        <is>
          <t>Formula</t>
        </is>
      </c>
      <c r="C26" s="2" t="inlineStr">
        <is>
          <t>(surplus × salary × 0.5) + (replace cost × 0.1) for Stars, HPs, HiPos</t>
        </is>
      </c>
    </row>
    <row r="27">
      <c r="B27" s="16" t="inlineStr">
        <is>
          <t>Replace cost assumption</t>
        </is>
      </c>
      <c r="C27" s="2" t="inlineStr">
        <is>
          <t>1.5× annual salary (industry standard)</t>
        </is>
      </c>
      <c r="E27" s="20" t="inlineStr">
        <is>
          <t>Source: SHRM / Deloitte HR benchmarks</t>
        </is>
      </c>
    </row>
    <row r="28">
      <c r="B28" s="16" t="inlineStr">
        <is>
          <t>Eligible employees</t>
        </is>
      </c>
      <c r="C28" s="2" t="inlineStr">
        <is>
          <t>Stars, High Performers, High Potentials above grade baseline</t>
        </is>
      </c>
    </row>
    <row r="29">
      <c r="B29" s="16" t="inlineStr">
        <is>
          <t>Output</t>
        </is>
      </c>
      <c r="C29" s="2" t="inlineStr">
        <is>
          <t>Value of above-baseline keepers + avoided replacement cost</t>
        </is>
      </c>
      <c r="E29" s="20" t="inlineStr">
        <is>
          <t>$#,##0</t>
        </is>
      </c>
    </row>
    <row r="31">
      <c r="B31" s="3" t="inlineStr">
        <is>
          <t>HIRING PREMIUM</t>
        </is>
      </c>
    </row>
    <row r="32">
      <c r="B32" s="16" t="inlineStr">
        <is>
          <t>Formula</t>
        </is>
      </c>
      <c r="C32" s="2" t="inlineStr">
        <is>
          <t>(perf_surplus × salary) for recent hires above grade baseline</t>
        </is>
      </c>
    </row>
    <row r="33">
      <c r="B33" s="16" t="inlineStr">
        <is>
          <t>Recent hire definition</t>
        </is>
      </c>
      <c r="C33" s="2" t="inlineStr">
        <is>
          <t>Tenure ≤ 1 year at time of assessment</t>
        </is>
      </c>
    </row>
    <row r="34">
      <c r="B34" s="16" t="inlineStr">
        <is>
          <t>Output</t>
        </is>
      </c>
      <c r="C34" s="2" t="inlineStr">
        <is>
          <t>Incremental value of above-baseline new hires</t>
        </is>
      </c>
      <c r="E34" s="20" t="inlineStr">
        <is>
          <t>$#,##0</t>
        </is>
      </c>
    </row>
    <row r="36">
      <c r="B36" s="19" t="inlineStr">
        <is>
          <t>TQP = Performance Premium + Retention Premium + Hiring Premium</t>
        </is>
      </c>
    </row>
    <row r="37">
      <c r="B37" s="19" t="inlineStr">
        <is>
          <t>HCI-Adjusted TQP = TQP × HCI Coefficient</t>
        </is>
      </c>
    </row>
  </sheetData>
  <mergeCells count="16">
    <mergeCell ref="C20:D20"/>
    <mergeCell ref="C34:D34"/>
    <mergeCell ref="B18:E18"/>
    <mergeCell ref="C29:D29"/>
    <mergeCell ref="C21:D21"/>
    <mergeCell ref="B4:E4"/>
    <mergeCell ref="C32:D32"/>
    <mergeCell ref="B12:E12"/>
    <mergeCell ref="C33:D33"/>
    <mergeCell ref="A2:H2"/>
    <mergeCell ref="C27:D27"/>
    <mergeCell ref="C26:D26"/>
    <mergeCell ref="C28:D28"/>
    <mergeCell ref="C22:D22"/>
    <mergeCell ref="A1:H1"/>
    <mergeCell ref="C23:D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" customWidth="1" min="1" max="1"/>
    <col width="90" customWidth="1" min="2" max="2"/>
  </cols>
  <sheetData>
    <row r="1">
      <c r="A1" s="1" t="inlineStr">
        <is>
          <t>BOARD-READY INTELLIGENCE STATEMENT</t>
        </is>
      </c>
    </row>
    <row r="2">
      <c r="A2" s="2" t="inlineStr">
        <is>
          <t>Copy this statement into your board pack, CEO presentation, or HR committee report.</t>
        </is>
      </c>
    </row>
    <row r="3">
      <c r="B3" s="3" t="inlineStr">
        <is>
          <t>TALENT QUALITY PREMIUM</t>
        </is>
      </c>
    </row>
    <row r="4">
      <c r="B4" s="36" t="inlineStr">
        <is>
          <t>[Organisation name] generated a Talent Quality Premium of [TQP value] in [period] — the financial value of having better-than-average people at the same compensation cost. HCI-adjusted TQP: [HCI-Adjusted TQP]. HCI coefficient: [HCI].</t>
        </is>
      </c>
    </row>
    <row r="6">
      <c r="B6" s="3" t="inlineStr">
        <is>
          <t>FIVE VERDICT AREAS</t>
        </is>
      </c>
    </row>
    <row r="7">
      <c r="B7" s="36" t="inlineStr">
        <is>
          <t>Promotion Accuracy scored [score]/100 ([Strong/Watch/Weak] vs market average of 85). [1-line key finding]</t>
        </is>
      </c>
    </row>
    <row r="8">
      <c r="B8" s="36" t="inlineStr">
        <is>
          <t>Manager Quality scored [score]/100 ([Strong/Watch/Weak] vs market average of 62). [1-line key finding]</t>
        </is>
      </c>
    </row>
    <row r="9">
      <c r="B9" s="36" t="inlineStr">
        <is>
          <t>Hiring Quality scored [score]/100 ([Strong/Watch/Weak] vs market average of 46). [1-line key finding]</t>
        </is>
      </c>
    </row>
    <row r="10">
      <c r="B10" s="36" t="inlineStr">
        <is>
          <t>Selective Retention scored [score]/100 ([Strong/Watch/Weak] vs market average of 59). [1-line key finding]</t>
        </is>
      </c>
    </row>
    <row r="11">
      <c r="B11" s="36" t="inlineStr">
        <is>
          <t>HiPo Identification scored [score]/100 ([Strong/Watch/Weak] vs market average of 40). [1-line key finding]</t>
        </is>
      </c>
    </row>
    <row r="13">
      <c r="B13" s="3" t="inlineStr">
        <is>
          <t>FORWARD PROJECTION</t>
        </is>
      </c>
    </row>
    <row r="14">
      <c r="B14" s="36" t="inlineStr">
        <is>
          <t>Addressing the [Watch/Weak] verdict areas through [lever names] is projected to generate a TQP uplift of [projected uplift] under the conservative scenario and [optimistic uplift] under the optimistic scenario.</t>
        </is>
      </c>
    </row>
    <row r="16">
      <c r="B16" s="3" t="inlineStr">
        <is>
          <t>HUMACITY POSITION</t>
        </is>
      </c>
    </row>
    <row r="17">
      <c r="B17" s="36" t="inlineStr">
        <is>
          <t>[Organisation name]'s Humacity position is [improving / stable / declining]. The primary driver is [one sentence]. The recommended priority intervention is [intervention name].</t>
        </is>
      </c>
    </row>
    <row r="19">
      <c r="B19" s="2" t="inlineStr">
        <is>
          <t>SOURCE NOTE</t>
        </is>
      </c>
    </row>
    <row r="20">
      <c r="B20" s="20" t="inlineStr">
        <is>
          <t>All figures computed from Revenue Fluent L2 Talent Premium model. Platform: humacity.com. Built on Humacity philosophy.</t>
        </is>
      </c>
    </row>
    <row r="22">
      <c r="B22" s="27" t="inlineStr">
        <is>
          <t>INSTRUCTIONS: Replace all [bracketed text] with your actual figures from the Summary and Five Verdicts tabs. This statement is board-ready as-is once values are filled in.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2026-08-17T13:49:33Z</dcterms:created>
  <dcterms:modified xmlns:dcterms="http://purl.org/dc/terms/" xmlns:xsi="http://www.w3.org/2001/XMLSchema-instance" xsi:type="dcterms:W3CDTF">2026-08-17T13:49:33Z</dcterms:modified>
</cp:coreProperties>
</file>