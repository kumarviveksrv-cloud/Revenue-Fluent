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uman Pn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6366F1"/>
      <sz val="14"/>
    </font>
    <font>
      <name val="Arial"/>
      <b val="1"/>
      <color rgb="00C4B5FD"/>
      <sz val="18"/>
    </font>
    <font>
      <name val="Arial"/>
      <color rgb="00475569"/>
      <sz val="11"/>
    </font>
    <font>
      <name val="Arial"/>
      <b val="1"/>
      <color rgb="006366F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0D0B1E"/>
      <sz val="10"/>
    </font>
    <font>
      <name val="Arial"/>
      <color rgb="00475569"/>
      <sz val="10"/>
    </font>
    <font>
      <name val="Arial"/>
      <color rgb="006366F1"/>
      <sz val="9"/>
    </font>
    <font>
      <name val="Arial"/>
      <b val="1"/>
      <color rgb="00C4B5FD"/>
      <sz val="11"/>
    </font>
    <font>
      <name val="Arial"/>
      <b val="1"/>
      <color rgb="00FFFFFF"/>
      <sz val="10"/>
    </font>
    <font>
      <name val="Arial"/>
      <color rgb="00475569"/>
      <sz val="9"/>
    </font>
    <font>
      <name val="Arial"/>
      <b val="1"/>
      <color rgb="00C4B5FD"/>
      <sz val="13"/>
    </font>
    <font>
      <name val="Arial"/>
      <b val="1"/>
      <color rgb="00C4B5FD"/>
      <sz val="16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EF2FF"/>
      </patternFill>
    </fill>
    <fill>
      <patternFill patternType="solid">
        <fgColor rgb="00F4F3FF"/>
      </patternFill>
    </fill>
    <fill>
      <patternFill patternType="solid">
        <fgColor rgb="000D0B1E"/>
      </patternFill>
    </fill>
    <fill>
      <patternFill patternType="solid">
        <fgColor rgb="001A18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0" fontId="13" fillId="5" borderId="0" applyAlignment="1" pivotButton="0" quotePrefix="0" xfId="0">
      <alignment horizontal="left" vertical="center"/>
    </xf>
    <xf numFmtId="0" fontId="11" fillId="5" borderId="0" applyAlignment="1" pivotButton="0" quotePrefix="0" xfId="0">
      <alignment horizontal="left" vertical="center"/>
    </xf>
    <xf numFmtId="0" fontId="14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9"/>
  <sheetViews>
    <sheetView workbookViewId="0">
      <selection activeCell="A1" sqref="A1"/>
    </sheetView>
  </sheetViews>
  <sheetFormatPr baseColWidth="8" defaultRowHeight="15"/>
  <cols>
    <col width="2" customWidth="1" min="1" max="1"/>
    <col width="80" customWidth="1" min="2" max="2"/>
  </cols>
  <sheetData>
    <row r="2">
      <c r="B2" s="1" t="inlineStr">
        <is>
          <t>REVENUE FLUENT</t>
        </is>
      </c>
    </row>
    <row r="3">
      <c r="B3" s="2" t="inlineStr">
        <is>
          <t>L4: The Human P&amp;L</t>
        </is>
      </c>
    </row>
    <row r="4">
      <c r="B4" s="3" t="inlineStr">
        <is>
          <t>HR has always had a P&amp;L. Nobody taught them to read it.</t>
        </is>
      </c>
    </row>
    <row r="6">
      <c r="B6" s="4" t="inlineStr">
        <is>
          <t>COLOUR GUIDE</t>
        </is>
      </c>
    </row>
    <row r="7">
      <c r="B7" s="5" t="inlineStr">
        <is>
          <t>Blue text = Input cells</t>
        </is>
      </c>
    </row>
    <row r="8">
      <c r="B8" s="6" t="inlineStr">
        <is>
          <t>Black text = Formula cells (do not edit)</t>
        </is>
      </c>
    </row>
    <row r="9">
      <c r="B9" s="7" t="inlineStr">
        <is>
          <t>Indigo background = Total / summary rows</t>
        </is>
      </c>
    </row>
    <row r="11">
      <c r="B11" s="4" t="inlineStr">
        <is>
          <t>HOW TO USE</t>
        </is>
      </c>
    </row>
    <row r="12">
      <c r="B12" s="8" t="inlineStr">
        <is>
          <t>1. Go to the 'Human PnL' sheet</t>
        </is>
      </c>
    </row>
    <row r="13">
      <c r="B13" s="8" t="inlineStr">
        <is>
          <t>2. Enter inputs in ASSUMPTIONS (blue cells)</t>
        </is>
      </c>
    </row>
    <row r="14">
      <c r="B14" s="8" t="inlineStr">
        <is>
          <t>3. Fill HUMAN REVENUE, COGS, OPEX, ADJUSTMENTS</t>
        </is>
      </c>
    </row>
    <row r="15">
      <c r="B15" s="8" t="inlineStr">
        <is>
          <t>4. Net Profit and The Ratio auto-calculate</t>
        </is>
      </c>
    </row>
    <row r="16">
      <c r="B16" s="8" t="inlineStr">
        <is>
          <t>5. This document is board-ready</t>
        </is>
      </c>
    </row>
    <row r="19">
      <c r="B19" s="9" t="inlineStr">
        <is>
          <t>Built on Humacity  ·  humacity.com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44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8" customWidth="1" min="3" max="3"/>
    <col width="36" customWidth="1" min="4" max="4"/>
  </cols>
  <sheetData>
    <row r="2">
      <c r="B2" s="10" t="inlineStr">
        <is>
          <t>THE HUMAN P&amp;L</t>
        </is>
      </c>
    </row>
    <row r="3">
      <c r="B3" s="9" t="inlineStr">
        <is>
          <t>Revenue Fluent  ·  humacity.com</t>
        </is>
      </c>
    </row>
    <row r="5">
      <c r="B5" s="10" t="inlineStr">
        <is>
          <t>ASSUMPTIONS</t>
        </is>
      </c>
    </row>
    <row r="6">
      <c r="B6" s="11" t="inlineStr">
        <is>
          <t>INPUT</t>
        </is>
      </c>
      <c r="C6" s="11" t="inlineStr">
        <is>
          <t>YOUR VALUE</t>
        </is>
      </c>
      <c r="D6" s="11" t="inlineStr">
        <is>
          <t>NOTES</t>
        </is>
      </c>
    </row>
    <row r="7">
      <c r="B7" s="8" t="inlineStr">
        <is>
          <t>Organisation / Entity name</t>
        </is>
      </c>
      <c r="C7" s="5" t="inlineStr">
        <is>
          <t>My Organisation</t>
        </is>
      </c>
    </row>
    <row r="8">
      <c r="B8" s="8" t="inlineStr">
        <is>
          <t>Currency symbol</t>
        </is>
      </c>
      <c r="C8" s="5" t="inlineStr">
        <is>
          <t>₹</t>
        </is>
      </c>
    </row>
    <row r="9">
      <c r="B9" s="8" t="inlineStr">
        <is>
          <t>Period</t>
        </is>
      </c>
      <c r="C9" s="5" t="inlineStr">
        <is>
          <t>FY2026</t>
        </is>
      </c>
    </row>
    <row r="10">
      <c r="B10" s="8" t="inlineStr">
        <is>
          <t>Total headcount</t>
        </is>
      </c>
      <c r="C10" s="5" t="n">
        <v>100</v>
      </c>
    </row>
    <row r="11">
      <c r="B11" s="8" t="inlineStr">
        <is>
          <t>Total annual compensation base</t>
        </is>
      </c>
      <c r="C11" s="5" t="n">
        <v>50000000</v>
      </c>
    </row>
    <row r="13">
      <c r="B13" s="10" t="inlineStr">
        <is>
          <t>HUMAN REVENUE</t>
        </is>
      </c>
    </row>
    <row r="14">
      <c r="B14" s="8" t="inlineStr">
        <is>
          <t xml:space="preserve">  Talent Acquisition Value</t>
        </is>
      </c>
      <c r="C14" s="5" t="n">
        <v>4200000</v>
      </c>
      <c r="D14" s="12" t="inlineStr">
        <is>
          <t>Revenue-generating hires x productive output</t>
        </is>
      </c>
    </row>
    <row r="15">
      <c r="B15" s="8" t="inlineStr">
        <is>
          <t xml:space="preserve">  Retention Savings</t>
        </is>
      </c>
      <c r="C15" s="5" t="n">
        <v>1400000</v>
      </c>
      <c r="D15" s="12" t="inlineStr">
        <is>
          <t>Replacement costs avoided x retention saves</t>
        </is>
      </c>
    </row>
    <row r="16">
      <c r="B16" s="8" t="inlineStr">
        <is>
          <t xml:space="preserve">  Performance Uplift</t>
        </is>
      </c>
      <c r="C16" s="5" t="n">
        <v>840000</v>
      </c>
      <c r="D16" s="12" t="inlineStr">
        <is>
          <t>Productivity gains from development investments</t>
        </is>
      </c>
    </row>
    <row r="17">
      <c r="B17" s="8" t="inlineStr">
        <is>
          <t xml:space="preserve">  Culture Premium</t>
        </is>
      </c>
      <c r="C17" s="5" t="n">
        <v>380000</v>
      </c>
      <c r="D17" s="12" t="inlineStr">
        <is>
          <t>Engagement-driven productivity above baseline</t>
        </is>
      </c>
    </row>
    <row r="18">
      <c r="B18" s="7" t="inlineStr">
        <is>
          <t>TOTAL HUMAN REVENUE</t>
        </is>
      </c>
      <c r="C18" s="7">
        <f>SUM(C14:C17)</f>
        <v/>
      </c>
    </row>
    <row r="20">
      <c r="B20" s="10" t="inlineStr">
        <is>
          <t>HUMAN COST OF GOODS (COGS)</t>
        </is>
      </c>
    </row>
    <row r="21">
      <c r="B21" s="8" t="inlineStr">
        <is>
          <t xml:space="preserve">  Total Compensation Cost</t>
        </is>
      </c>
      <c r="C21" s="5" t="n">
        <v>50000000</v>
      </c>
      <c r="D21" s="12" t="inlineStr">
        <is>
          <t>Salaries, benefits, bonuses</t>
        </is>
      </c>
    </row>
    <row r="22">
      <c r="B22" s="8" t="inlineStr">
        <is>
          <t xml:space="preserve">  Acquisition Cost</t>
        </is>
      </c>
      <c r="C22" s="5" t="n">
        <v>1200000</v>
      </c>
      <c r="D22" s="12" t="inlineStr">
        <is>
          <t>Hiring spend, agency fees, onboarding</t>
        </is>
      </c>
    </row>
    <row r="23">
      <c r="B23" s="8" t="inlineStr">
        <is>
          <t xml:space="preserve">  Development Investment</t>
        </is>
      </c>
      <c r="C23" s="5" t="n">
        <v>460000</v>
      </c>
      <c r="D23" s="12" t="inlineStr">
        <is>
          <t>Training, coaching, certifications</t>
        </is>
      </c>
    </row>
    <row r="24">
      <c r="B24" s="7" t="inlineStr">
        <is>
          <t>TOTAL HUMAN COGS</t>
        </is>
      </c>
      <c r="C24" s="7">
        <f>SUM(C21:C23)</f>
        <v/>
      </c>
    </row>
    <row r="26">
      <c r="B26" s="13" t="inlineStr">
        <is>
          <t>HUMAN GROSS MARGIN</t>
        </is>
      </c>
      <c r="C26" s="13">
        <f>C18-C24</f>
        <v/>
      </c>
      <c r="D26" s="13">
        <f>IF(C18&lt;&gt;0,C26/C18,0)</f>
        <v/>
      </c>
    </row>
    <row r="28">
      <c r="B28" s="10" t="inlineStr">
        <is>
          <t>HUMAN OPERATING EXPENSES (OpEx)</t>
        </is>
      </c>
    </row>
    <row r="29">
      <c r="B29" s="8" t="inlineStr">
        <is>
          <t xml:space="preserve">  HR Function Cost</t>
        </is>
      </c>
      <c r="C29" s="5" t="n">
        <v>2800000</v>
      </c>
      <c r="D29" s="12" t="inlineStr">
        <is>
          <t>HR team salaries, tools, systems</t>
        </is>
      </c>
    </row>
    <row r="30">
      <c r="B30" s="8" t="inlineStr">
        <is>
          <t xml:space="preserve">  Compliance &amp; Administration</t>
        </is>
      </c>
      <c r="C30" s="5" t="n">
        <v>400000</v>
      </c>
      <c r="D30" s="12" t="inlineStr">
        <is>
          <t>Legal, payroll, HR ops</t>
        </is>
      </c>
    </row>
    <row r="31">
      <c r="B31" s="8" t="inlineStr">
        <is>
          <t xml:space="preserve">  Culture &amp; Engagement Spend</t>
        </is>
      </c>
      <c r="C31" s="5" t="n">
        <v>180000</v>
      </c>
      <c r="D31" s="12" t="inlineStr">
        <is>
          <t>Events, wellbeing, recognition</t>
        </is>
      </c>
    </row>
    <row r="32">
      <c r="B32" s="7" t="inlineStr">
        <is>
          <t>TOTAL HUMAN OPEX</t>
        </is>
      </c>
      <c r="C32" s="7">
        <f>SUM(C29:C31)</f>
        <v/>
      </c>
    </row>
    <row r="34">
      <c r="B34" s="13" t="inlineStr">
        <is>
          <t>HUMAN OPERATING PROFIT</t>
        </is>
      </c>
      <c r="C34" s="13">
        <f>C26-C32</f>
        <v/>
      </c>
      <c r="D34" s="13" t="inlineStr"/>
    </row>
    <row r="36">
      <c r="B36" s="10" t="inlineStr">
        <is>
          <t>HUMAN ADJUSTMENTS (below the line)</t>
        </is>
      </c>
    </row>
    <row r="37">
      <c r="B37" s="8" t="inlineStr">
        <is>
          <t xml:space="preserve">  Flight Risk Liability</t>
        </is>
      </c>
      <c r="C37" s="5" t="n">
        <v>890000</v>
      </c>
      <c r="D37" s="12" t="inlineStr">
        <is>
          <t>Value at risk of departure</t>
        </is>
      </c>
    </row>
    <row r="38">
      <c r="B38" s="8" t="inlineStr">
        <is>
          <t xml:space="preserve">  Skill Debt Provision</t>
        </is>
      </c>
      <c r="C38" s="5" t="n">
        <v>340000</v>
      </c>
      <c r="D38" s="12" t="inlineStr">
        <is>
          <t>Cost of skills gap if unaddressed</t>
        </is>
      </c>
    </row>
    <row r="39">
      <c r="B39" s="8" t="inlineStr">
        <is>
          <t xml:space="preserve">  Growth Readiness Gap</t>
        </is>
      </c>
      <c r="C39" s="5" t="n">
        <v>520000</v>
      </c>
      <c r="D39" s="12" t="inlineStr">
        <is>
          <t>Cost of unpreparedness for next stage</t>
        </is>
      </c>
    </row>
    <row r="40">
      <c r="B40" s="7" t="inlineStr">
        <is>
          <t>TOTAL HUMAN ADJUSTMENTS</t>
        </is>
      </c>
      <c r="C40" s="7">
        <f>SUM(C37:C39)</f>
        <v/>
      </c>
    </row>
    <row r="42">
      <c r="B42" s="14" t="inlineStr">
        <is>
          <t>HUMAN NET PROFIT / LOSS</t>
        </is>
      </c>
      <c r="C42" s="14">
        <f>C34-C40</f>
        <v/>
      </c>
      <c r="D42" s="14" t="inlineStr"/>
    </row>
    <row r="44">
      <c r="B44" s="15" t="inlineStr">
        <is>
          <t>THE RATIO  —  For every 1 unit invested, this org returns:</t>
        </is>
      </c>
      <c r="C44" s="16">
        <f>IF(C24&lt;&gt;0,TEXT(C18/C24,"0.0")&amp;"x","—")</f>
        <v/>
      </c>
      <c r="D44" s="15" t="inlineStr"/>
    </row>
  </sheetData>
  <mergeCells count="6">
    <mergeCell ref="B28:D28"/>
    <mergeCell ref="B5:D5"/>
    <mergeCell ref="B36:D36"/>
    <mergeCell ref="B13:D13"/>
    <mergeCell ref="B2:D2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2026-08-17T13:39:35Z</dcterms:created>
  <dcterms:modified xmlns:dcterms="http://purl.org/dc/terms/" xmlns:xsi="http://www.w3.org/2001/XMLSchema-instance" xsi:type="dcterms:W3CDTF">2026-08-17T13:39:35Z</dcterms:modified>
</cp:coreProperties>
</file>