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Talent Premiu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<sst xmlns="http://schemas.openxmlformats.org/spreadsheetml/2006/main" count="67" uniqueCount="66">
  <si>
    <t xml:space="preserve">REVENUE FLUENT</t>
  </si>
  <si>
    <t xml:space="preserve">L2: The Talent Premium</t>
  </si>
  <si>
    <t xml:space="preserve">Every organisation pays for people. Almost none know what they are getting back.</t>
  </si>
  <si>
    <t xml:space="preserve">COLOUR GUIDE</t>
  </si>
  <si>
    <t xml:space="preserve">Blue text = Input cells (enter your org data here)</t>
  </si>
  <si>
    <t xml:space="preserve">Black text = Formula cells (auto-calculate, do not edit)</t>
  </si>
  <si>
    <t xml:space="preserve">Purple background = Total / summary rows</t>
  </si>
  <si>
    <t xml:space="preserve">HOW TO USE</t>
  </si>
  <si>
    <t xml:space="preserve">1. Go to the 'Talent Premium' sheet</t>
  </si>
  <si>
    <t xml:space="preserve">2. Enter your org data in the ASSUMPTIONS block (blue cells)</t>
  </si>
  <si>
    <t xml:space="preserve">3. Fill in the three COMPONENT sections with your actual counts</t>
  </si>
  <si>
    <t xml:space="preserve">4. The Talent Quality Premium (TQP) auto-calculates at the bottom</t>
  </si>
  <si>
    <t xml:space="preserve">5. Compare your TQP against the benchmark — the gap is your premium or discount</t>
  </si>
  <si>
    <t xml:space="preserve">Built on Humacity  ·  humacity.com</t>
  </si>
  <si>
    <t xml:space="preserve">THE TALENT PREMIUM  —  Talent Quality Premium (TQP) Model</t>
  </si>
  <si>
    <t xml:space="preserve">Revenue Fluent  ·  humacity.com</t>
  </si>
  <si>
    <t xml:space="preserve">ASSUMPTIONS</t>
  </si>
  <si>
    <t xml:space="preserve">INPUT</t>
  </si>
  <si>
    <t xml:space="preserve">YOUR VALUE</t>
  </si>
  <si>
    <t xml:space="preserve">NOTES</t>
  </si>
  <si>
    <t xml:space="preserve">Organisation name</t>
  </si>
  <si>
    <t xml:space="preserve">My Organisation</t>
  </si>
  <si>
    <t xml:space="preserve">Currency symbol</t>
  </si>
  <si>
    <t xml:space="preserve">₹</t>
  </si>
  <si>
    <t xml:space="preserve">Total employees</t>
  </si>
  <si>
    <t xml:space="preserve">Total annual compensation base</t>
  </si>
  <si>
    <t xml:space="preserve">Average salary (benchmark)</t>
  </si>
  <si>
    <t xml:space="preserve">Financial year</t>
  </si>
  <si>
    <t xml:space="preserve">FY2026</t>
  </si>
  <si>
    <t xml:space="preserve">COMPONENT 1  —  Performance Premium</t>
  </si>
  <si>
    <t xml:space="preserve">Stars, High Performers vs grade benchmark</t>
  </si>
  <si>
    <t xml:space="preserve">GRADE / CATEGORY</t>
  </si>
  <si>
    <t xml:space="preserve">HEADCOUNT</t>
  </si>
  <si>
    <t xml:space="preserve">AVG SALARY</t>
  </si>
  <si>
    <t xml:space="preserve">PERF PREMIUM %</t>
  </si>
  <si>
    <t xml:space="preserve">PREMIUM VALUE</t>
  </si>
  <si>
    <t xml:space="preserve">Stars (top performers)</t>
  </si>
  <si>
    <t xml:space="preserve">High Performers</t>
  </si>
  <si>
    <t xml:space="preserve">Core Performers</t>
  </si>
  <si>
    <t xml:space="preserve">Under Performers</t>
  </si>
  <si>
    <t xml:space="preserve">Performance Premium Total</t>
  </si>
  <si>
    <t xml:space="preserve">COMPONENT 2  —  Retention Quality Premium</t>
  </si>
  <si>
    <t xml:space="preserve">Value of keeping the right people (Stars + HiPos who stayed)</t>
  </si>
  <si>
    <t xml:space="preserve">CATEGORY</t>
  </si>
  <si>
    <t xml:space="preserve">RETAINED COUNT</t>
  </si>
  <si>
    <t xml:space="preserve">REPLACEMENT COST MULT</t>
  </si>
  <si>
    <t xml:space="preserve">RETENTION VALUE</t>
  </si>
  <si>
    <t xml:space="preserve">Stars retained</t>
  </si>
  <si>
    <t xml:space="preserve">HiPo retained</t>
  </si>
  <si>
    <t xml:space="preserve">Key specialists retained</t>
  </si>
  <si>
    <t xml:space="preserve">Retention Quality Premium Total</t>
  </si>
  <si>
    <t xml:space="preserve">COMPONENT 3  —  Hiring Quality Premium</t>
  </si>
  <si>
    <t xml:space="preserve">Cost of early exits (wrong hires) vs good hires retained</t>
  </si>
  <si>
    <t xml:space="preserve">METRIC</t>
  </si>
  <si>
    <t xml:space="preserve">COUNT</t>
  </si>
  <si>
    <t xml:space="preserve">AVG COST/VALUE</t>
  </si>
  <si>
    <t xml:space="preserve">MULT</t>
  </si>
  <si>
    <t xml:space="preserve">IMPACT</t>
  </si>
  <si>
    <t xml:space="preserve">Good hires (12+ months, performing)</t>
  </si>
  <si>
    <t xml:space="preserve">Early exits (under 12 months)</t>
  </si>
  <si>
    <t xml:space="preserve">Hiring Quality Premium Total</t>
  </si>
  <si>
    <t xml:space="preserve">TALENT QUALITY PREMIUM (TQP)</t>
  </si>
  <si>
    <t xml:space="preserve">Performance Premium</t>
  </si>
  <si>
    <t xml:space="preserve">Retention Quality Premium</t>
  </si>
  <si>
    <t xml:space="preserve">Hiring Quality Premium</t>
  </si>
  <si>
    <t xml:space="preserve">TOTAL TALENT QUALITY PREMIUM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</si>
</sst>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"/>
    <numFmt numFmtId="167" formatCode="0.0%"/>
    <numFmt numFmtId="168" formatCode="0.0\x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409A"/>
      <name val="Arial"/>
      <family val="0"/>
      <charset val="1"/>
    </font>
    <font>
      <b val="true"/>
      <sz val="18"/>
      <color rgb="FFE0B830"/>
      <name val="Arial"/>
      <family val="0"/>
      <charset val="1"/>
    </font>
    <font>
      <i val="true"/>
      <sz val="11"/>
      <color rgb="FF4A3060"/>
      <name val="Arial"/>
      <family val="0"/>
      <charset val="1"/>
    </font>
    <font>
      <b val="true"/>
      <sz val="10"/>
      <color rgb="FFC0409A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1A1020"/>
      <name val="Arial"/>
      <family val="0"/>
      <charset val="1"/>
    </font>
    <font>
      <sz val="10"/>
      <color rgb="FF4A3060"/>
      <name val="Arial"/>
      <family val="0"/>
      <charset val="1"/>
    </font>
    <font>
      <i val="true"/>
      <sz val="9"/>
      <color rgb="FFC0409A"/>
      <name val="Arial"/>
      <family val="0"/>
      <charset val="1"/>
    </font>
    <font>
      <b val="true"/>
      <sz val="11"/>
      <color rgb="FFE0B83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4A3060"/>
      <name val="Arial"/>
      <family val="0"/>
      <charset val="1"/>
    </font>
    <font>
      <b val="true"/>
      <sz val="10"/>
      <color rgb="FF1A1020"/>
      <name val="Arial"/>
      <family val="0"/>
      <charset val="1"/>
    </font>
    <font>
      <b val="true"/>
      <sz val="12"/>
      <color rgb="FFE0B83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9E6"/>
        <bgColor rgb="FFFFFFFF"/>
      </patternFill>
    </fill>
    <fill>
      <patternFill patternType="solid">
        <fgColor rgb="FFFFFFFF"/>
        <bgColor rgb="FFFFF9E6"/>
      </patternFill>
    </fill>
    <fill>
      <patternFill patternType="solid">
        <fgColor rgb="FFF0E8FF"/>
        <bgColor rgb="FFFFF9E6"/>
      </patternFill>
    </fill>
    <fill>
      <patternFill patternType="solid">
        <fgColor rgb="FF1A1020"/>
        <bgColor rgb="FF2A1535"/>
      </patternFill>
    </fill>
    <fill>
      <patternFill patternType="solid">
        <fgColor rgb="FF2A1535"/>
        <bgColor rgb="FF1A1020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C0409A"/>
      </bottom>
      <diagonal/>
    </border>
    <border diagonalUp="false" diagonalDown="false">
      <left style="thin">
        <color rgb="FFD0B0E0"/>
      </left>
      <right style="thin">
        <color rgb="FFD0B0E0"/>
      </right>
      <top style="thin">
        <color rgb="FFD0B0E0"/>
      </top>
      <bottom style="thin">
        <color rgb="FFD0B0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6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B0E0"/>
      <rgbColor rgb="FF808080"/>
      <rgbColor rgb="FF9999FF"/>
      <rgbColor rgb="FFC0409A"/>
      <rgbColor rgb="FFFFF9E6"/>
      <rgbColor rgb="FFF0E8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E0B830"/>
      <rgbColor rgb="FFFF9900"/>
      <rgbColor rgb="FFFF6600"/>
      <rgbColor rgb="FF666699"/>
      <rgbColor rgb="FF969696"/>
      <rgbColor rgb="FF003366"/>
      <rgbColor rgb="FF339966"/>
      <rgbColor rgb="FF1A1020"/>
      <rgbColor rgb="FF2A1535"/>
      <rgbColor rgb="FF993300"/>
      <rgbColor rgb="FF993366"/>
      <rgbColor rgb="FF333399"/>
      <rgbColor rgb="FF4A306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20"/>
  </cols>
  <sheetData>
    <row r="2" customFormat="false" ht="17.35" hidden="false" customHeight="false" outlineLevel="0" collapsed="false">
      <c r="B2" s="1" t="s">
        <v>0</v>
      </c>
    </row>
    <row r="3" customFormat="false" ht="22.0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6" customFormat="false" ht="15" hidden="false" customHeight="false" outlineLevel="0" collapsed="false">
      <c r="B6" s="4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6" t="s">
        <v>5</v>
      </c>
    </row>
    <row r="9" customFormat="false" ht="15" hidden="false" customHeight="false" outlineLevel="0" collapsed="false">
      <c r="B9" s="7" t="s">
        <v>6</v>
      </c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8" t="s">
        <v>8</v>
      </c>
    </row>
    <row r="13" customFormat="false" ht="15" hidden="false" customHeight="false" outlineLevel="0" collapsed="false">
      <c r="B13" s="8" t="s">
        <v>9</v>
      </c>
    </row>
    <row r="14" customFormat="false" ht="15" hidden="false" customHeight="false" outlineLevel="0" collapsed="false">
      <c r="B14" s="8" t="s">
        <v>10</v>
      </c>
    </row>
    <row r="15" customFormat="false" ht="15" hidden="false" customHeight="false" outlineLevel="0" collapsed="false">
      <c r="B15" s="8" t="s">
        <v>11</v>
      </c>
    </row>
    <row r="16" customFormat="false" ht="23.85" hidden="false" customHeight="false" outlineLevel="0" collapsed="false">
      <c r="B16" s="8" t="s">
        <v>12</v>
      </c>
    </row>
    <row r="19" customFormat="false" ht="15" hidden="false" customHeight="false" outlineLevel="0" collapsed="false">
      <c r="B19" s="9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4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2" topLeftCell="A1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22"/>
  </cols>
  <sheetData>
    <row r="2" customFormat="false" ht="15" hidden="false" customHeight="false" outlineLevel="0" collapsed="false">
      <c r="B2" s="10" t="s">
        <v>14</v>
      </c>
      <c r="C2" s="10"/>
      <c r="D2" s="10"/>
      <c r="E2" s="10"/>
      <c r="F2" s="10"/>
    </row>
    <row r="3" customFormat="false" ht="15" hidden="false" customHeight="false" outlineLevel="0" collapsed="false">
      <c r="B3" s="9" t="s">
        <v>15</v>
      </c>
    </row>
    <row r="5" customFormat="false" ht="15" hidden="false" customHeight="false" outlineLevel="0" collapsed="false">
      <c r="B5" s="10" t="s">
        <v>16</v>
      </c>
      <c r="C5" s="10"/>
      <c r="D5" s="10"/>
    </row>
    <row r="6" customFormat="false" ht="15" hidden="false" customHeight="false" outlineLevel="0" collapsed="false">
      <c r="B6" s="11" t="s">
        <v>17</v>
      </c>
      <c r="C6" s="11" t="s">
        <v>18</v>
      </c>
      <c r="D6" s="11" t="s">
        <v>19</v>
      </c>
    </row>
    <row r="7" customFormat="false" ht="15" hidden="false" customHeight="false" outlineLevel="0" collapsed="false">
      <c r="B7" s="12" t="s">
        <v>20</v>
      </c>
      <c r="C7" s="13" t="s">
        <v>21</v>
      </c>
    </row>
    <row r="8" customFormat="false" ht="15" hidden="false" customHeight="false" outlineLevel="0" collapsed="false">
      <c r="B8" s="12" t="s">
        <v>22</v>
      </c>
      <c r="C8" s="13" t="s">
        <v>23</v>
      </c>
    </row>
    <row r="9" customFormat="false" ht="15" hidden="false" customHeight="false" outlineLevel="0" collapsed="false">
      <c r="B9" s="12" t="s">
        <v>24</v>
      </c>
      <c r="C9" s="14" t="n">
        <v>100</v>
      </c>
    </row>
    <row r="10" customFormat="false" ht="15" hidden="false" customHeight="false" outlineLevel="0" collapsed="false">
      <c r="B10" s="12" t="s">
        <v>25</v>
      </c>
      <c r="C10" s="14" t="n">
        <v>50000000</v>
      </c>
    </row>
    <row r="11" customFormat="false" ht="15" hidden="false" customHeight="false" outlineLevel="0" collapsed="false">
      <c r="B11" s="12" t="s">
        <v>26</v>
      </c>
      <c r="C11" s="14" t="n">
        <v>500000</v>
      </c>
    </row>
    <row r="12" customFormat="false" ht="15" hidden="false" customHeight="false" outlineLevel="0" collapsed="false">
      <c r="B12" s="12" t="s">
        <v>27</v>
      </c>
      <c r="C12" s="13" t="s">
        <v>28</v>
      </c>
    </row>
    <row r="15" customFormat="false" ht="15" hidden="false" customHeight="false" outlineLevel="0" collapsed="false">
      <c r="B15" s="10" t="s">
        <v>29</v>
      </c>
      <c r="C15" s="10"/>
      <c r="D15" s="10"/>
      <c r="E15" s="10"/>
      <c r="F15" s="10"/>
    </row>
    <row r="16" customFormat="false" ht="15" hidden="false" customHeight="false" outlineLevel="0" collapsed="false">
      <c r="B16" s="15" t="s">
        <v>30</v>
      </c>
    </row>
    <row r="17" customFormat="false" ht="15" hidden="false" customHeight="false" outlineLevel="0" collapsed="false">
      <c r="B17" s="11" t="s">
        <v>31</v>
      </c>
      <c r="C17" s="11" t="s">
        <v>32</v>
      </c>
      <c r="D17" s="11" t="s">
        <v>33</v>
      </c>
      <c r="E17" s="11" t="s">
        <v>34</v>
      </c>
      <c r="F17" s="11" t="s">
        <v>35</v>
      </c>
    </row>
    <row r="18" customFormat="false" ht="15" hidden="false" customHeight="false" outlineLevel="0" collapsed="false">
      <c r="B18" s="13" t="s">
        <v>36</v>
      </c>
      <c r="C18" s="14" t="n">
        <v>8</v>
      </c>
      <c r="D18" s="14" t="n">
        <v>900000</v>
      </c>
      <c r="E18" s="16" t="n">
        <v>0.25</v>
      </c>
      <c r="F18" s="17" t="n">
        <f aca="false">C18*D18*E18</f>
        <v>1800000</v>
      </c>
    </row>
    <row r="19" customFormat="false" ht="15" hidden="false" customHeight="false" outlineLevel="0" collapsed="false">
      <c r="B19" s="13" t="s">
        <v>37</v>
      </c>
      <c r="C19" s="14" t="n">
        <v>18</v>
      </c>
      <c r="D19" s="14" t="n">
        <v>650000</v>
      </c>
      <c r="E19" s="16" t="n">
        <v>0.15</v>
      </c>
      <c r="F19" s="17" t="n">
        <f aca="false">C19*D19*E19</f>
        <v>1755000</v>
      </c>
    </row>
    <row r="20" customFormat="false" ht="15" hidden="false" customHeight="false" outlineLevel="0" collapsed="false">
      <c r="B20" s="13" t="s">
        <v>38</v>
      </c>
      <c r="C20" s="14" t="n">
        <v>60</v>
      </c>
      <c r="D20" s="14" t="n">
        <v>500000</v>
      </c>
      <c r="E20" s="16" t="n">
        <v>0</v>
      </c>
      <c r="F20" s="17" t="n">
        <f aca="false">C20*D20*E20</f>
        <v>0</v>
      </c>
    </row>
    <row r="21" customFormat="false" ht="15" hidden="false" customHeight="false" outlineLevel="0" collapsed="false">
      <c r="B21" s="13" t="s">
        <v>39</v>
      </c>
      <c r="C21" s="14" t="n">
        <v>14</v>
      </c>
      <c r="D21" s="14" t="n">
        <v>450000</v>
      </c>
      <c r="E21" s="16" t="n">
        <v>-0.1</v>
      </c>
      <c r="F21" s="17" t="n">
        <f aca="false">C21*D21*E21</f>
        <v>-630000</v>
      </c>
    </row>
    <row r="22" customFormat="false" ht="15" hidden="false" customHeight="false" outlineLevel="0" collapsed="false">
      <c r="B22" s="18" t="s">
        <v>40</v>
      </c>
      <c r="F22" s="19" t="n">
        <f aca="false">SUM(F18:F21)</f>
        <v>2925000</v>
      </c>
    </row>
    <row r="25" customFormat="false" ht="15" hidden="false" customHeight="false" outlineLevel="0" collapsed="false">
      <c r="B25" s="10" t="s">
        <v>41</v>
      </c>
      <c r="C25" s="10"/>
      <c r="D25" s="10"/>
      <c r="E25" s="10"/>
      <c r="F25" s="10"/>
    </row>
    <row r="26" customFormat="false" ht="15" hidden="false" customHeight="false" outlineLevel="0" collapsed="false">
      <c r="B26" s="15" t="s">
        <v>42</v>
      </c>
    </row>
    <row r="27" customFormat="false" ht="15" hidden="false" customHeight="false" outlineLevel="0" collapsed="false">
      <c r="B27" s="11" t="s">
        <v>43</v>
      </c>
      <c r="C27" s="11" t="s">
        <v>44</v>
      </c>
      <c r="D27" s="11" t="s">
        <v>45</v>
      </c>
      <c r="E27" s="11" t="s">
        <v>33</v>
      </c>
      <c r="F27" s="11" t="s">
        <v>46</v>
      </c>
    </row>
    <row r="28" customFormat="false" ht="15" hidden="false" customHeight="false" outlineLevel="0" collapsed="false">
      <c r="B28" s="13" t="s">
        <v>47</v>
      </c>
      <c r="C28" s="14" t="n">
        <v>7</v>
      </c>
      <c r="D28" s="20" t="n">
        <v>2</v>
      </c>
      <c r="E28" s="14" t="n">
        <v>900000</v>
      </c>
      <c r="F28" s="17" t="n">
        <f aca="false">C28*D28*E28</f>
        <v>12600000</v>
      </c>
    </row>
    <row r="29" customFormat="false" ht="15" hidden="false" customHeight="false" outlineLevel="0" collapsed="false">
      <c r="B29" s="13" t="s">
        <v>48</v>
      </c>
      <c r="C29" s="14" t="n">
        <v>5</v>
      </c>
      <c r="D29" s="20" t="n">
        <v>1.5</v>
      </c>
      <c r="E29" s="14" t="n">
        <v>700000</v>
      </c>
      <c r="F29" s="17" t="n">
        <f aca="false">C29*D29*E29</f>
        <v>5250000</v>
      </c>
    </row>
    <row r="30" customFormat="false" ht="15" hidden="false" customHeight="false" outlineLevel="0" collapsed="false">
      <c r="B30" s="13" t="s">
        <v>49</v>
      </c>
      <c r="C30" s="14" t="n">
        <v>4</v>
      </c>
      <c r="D30" s="20" t="n">
        <v>1.8</v>
      </c>
      <c r="E30" s="14" t="n">
        <v>750000</v>
      </c>
      <c r="F30" s="17" t="n">
        <f aca="false">C30*D30*E30</f>
        <v>5400000</v>
      </c>
    </row>
    <row r="31" customFormat="false" ht="15" hidden="false" customHeight="false" outlineLevel="0" collapsed="false">
      <c r="B31" s="18" t="s">
        <v>50</v>
      </c>
      <c r="F31" s="19" t="n">
        <f aca="false">SUM(F28:F30)</f>
        <v>23250000</v>
      </c>
    </row>
    <row r="34" customFormat="false" ht="15" hidden="false" customHeight="false" outlineLevel="0" collapsed="false">
      <c r="B34" s="10" t="s">
        <v>51</v>
      </c>
      <c r="C34" s="10"/>
      <c r="D34" s="10"/>
      <c r="E34" s="10"/>
      <c r="F34" s="10"/>
    </row>
    <row r="35" customFormat="false" ht="15" hidden="false" customHeight="false" outlineLevel="0" collapsed="false">
      <c r="B35" s="15" t="s">
        <v>52</v>
      </c>
    </row>
    <row r="36" customFormat="false" ht="15" hidden="false" customHeight="false" outlineLevel="0" collapsed="false">
      <c r="B36" s="11" t="s">
        <v>53</v>
      </c>
      <c r="C36" s="11" t="s">
        <v>54</v>
      </c>
      <c r="D36" s="11" t="s">
        <v>55</v>
      </c>
      <c r="E36" s="11" t="s">
        <v>56</v>
      </c>
      <c r="F36" s="11" t="s">
        <v>57</v>
      </c>
    </row>
    <row r="37" customFormat="false" ht="15" hidden="false" customHeight="false" outlineLevel="0" collapsed="false">
      <c r="B37" s="13" t="s">
        <v>58</v>
      </c>
      <c r="C37" s="14" t="n">
        <v>15</v>
      </c>
      <c r="D37" s="14" t="n">
        <v>600000</v>
      </c>
      <c r="E37" s="20" t="n">
        <v>1.2</v>
      </c>
      <c r="F37" s="17" t="n">
        <f aca="false">C37*D37*E37</f>
        <v>10800000</v>
      </c>
    </row>
    <row r="38" customFormat="false" ht="15" hidden="false" customHeight="false" outlineLevel="0" collapsed="false">
      <c r="B38" s="13" t="s">
        <v>59</v>
      </c>
      <c r="C38" s="14" t="n">
        <v>3</v>
      </c>
      <c r="D38" s="14" t="n">
        <v>600000</v>
      </c>
      <c r="E38" s="20" t="n">
        <v>-2.5</v>
      </c>
      <c r="F38" s="17" t="n">
        <f aca="false">C38*D38*E38</f>
        <v>-4500000</v>
      </c>
    </row>
    <row r="39" customFormat="false" ht="15" hidden="false" customHeight="false" outlineLevel="0" collapsed="false">
      <c r="B39" s="18" t="s">
        <v>60</v>
      </c>
      <c r="F39" s="19" t="n">
        <f aca="false">SUM(F37:F38)</f>
        <v>6300000</v>
      </c>
    </row>
    <row r="42" customFormat="false" ht="15" hidden="false" customHeight="false" outlineLevel="0" collapsed="false">
      <c r="B42" s="10" t="s">
        <v>61</v>
      </c>
      <c r="C42" s="10"/>
      <c r="D42" s="10"/>
      <c r="E42" s="10"/>
      <c r="F42" s="10"/>
    </row>
    <row r="43" customFormat="false" ht="15" hidden="false" customHeight="false" outlineLevel="0" collapsed="false">
      <c r="B43" s="12" t="s">
        <v>62</v>
      </c>
      <c r="F43" s="17" t="n">
        <f aca="false">F22</f>
        <v>2925000</v>
      </c>
    </row>
    <row r="44" customFormat="false" ht="15" hidden="false" customHeight="false" outlineLevel="0" collapsed="false">
      <c r="B44" s="12" t="s">
        <v>63</v>
      </c>
      <c r="F44" s="17" t="n">
        <f aca="false">F31</f>
        <v>23250000</v>
      </c>
    </row>
    <row r="45" customFormat="false" ht="15" hidden="false" customHeight="false" outlineLevel="0" collapsed="false">
      <c r="B45" s="12" t="s">
        <v>64</v>
      </c>
      <c r="F45" s="17" t="n">
        <f aca="false">F39</f>
        <v>6300000</v>
      </c>
    </row>
    <row r="47" customFormat="false" ht="21.75" hidden="false" customHeight="true" outlineLevel="0" collapsed="false">
      <c r="B47" s="21" t="s">
        <v>65</v>
      </c>
      <c r="F47" s="22" t="n">
        <f aca="false">F22+F31+F39</f>
        <v>32475000</v>
      </c>
    </row>
  </sheetData>
  <mergeCells count="6">
    <mergeCell ref="B2:F2"/>
    <mergeCell ref="B5:D5"/>
    <mergeCell ref="B15:F15"/>
    <mergeCell ref="B25:F25"/>
    <mergeCell ref="B34:F34"/>
    <mergeCell ref="B42:F4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2026-06-12T11:49:37Z</dcterms:created>
  <dc:creator>openpyxl</dc:creator>
  <dc:description/>
  <dc:language>en-US</dc:language>
  <cp:lastModifiedBy/>
  <dcterms:modified xsi:type="dcterms:W3CDTF">2026-06-12T11:49:37Z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